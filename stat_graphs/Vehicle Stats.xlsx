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lanes" sheetId="1" state="visible" r:id="rId3"/>
    <sheet name="Helis" sheetId="2" state="visible" r:id="rId4"/>
    <sheet name="Turn Radius Chart" sheetId="3" state="visible" r:id="rId5"/>
    <sheet name="Improved Plane Stats" sheetId="4" state="visible" r:id="rId6"/>
    <sheet name="Turn Stats vc Speed" sheetId="5" state="visible" r:id="rId7"/>
    <sheet name="Missile Stats" sheetId="6" state="visible" r:id="rId8"/>
    <sheet name="Radar Sta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green means publicly known
	-Sam Stade</t>
        </r>
      </text>
    </comment>
    <comment ref="B9" authorId="0">
      <text>
        <r>
          <rPr>
            <sz val="10"/>
            <rFont val="Arial"/>
            <family val="2"/>
          </rPr>
          <t xml:space="preserve">yellow means guess because I couldn't find the real value
	-Sam Stade</t>
        </r>
      </text>
    </comment>
    <comment ref="J6" authorId="0">
      <text>
        <r>
          <rPr>
            <sz val="10"/>
            <rFont val="Arial"/>
            <family val="2"/>
          </rPr>
          <t xml:space="preserve">This is without after burner
	-Sam Stade</t>
        </r>
      </text>
    </comment>
  </commentList>
</comments>
</file>

<file path=xl/sharedStrings.xml><?xml version="1.0" encoding="utf-8"?>
<sst xmlns="http://schemas.openxmlformats.org/spreadsheetml/2006/main" count="280" uniqueCount="131">
  <si>
    <t xml:space="preserve">Name</t>
  </si>
  <si>
    <t xml:space="preserve">Speed (m/t)</t>
  </si>
  <si>
    <t xml:space="preserve">Speed (m/s)</t>
  </si>
  <si>
    <t xml:space="preserve">Speed (km/h)</t>
  </si>
  <si>
    <t xml:space="preserve">Max Roll (deg/t)</t>
  </si>
  <si>
    <t xml:space="preserve">Max Pitch (deg/t)</t>
  </si>
  <si>
    <t xml:space="preserve">Max Yaw (deg/t)</t>
  </si>
  <si>
    <t xml:space="preserve">Health</t>
  </si>
  <si>
    <t xml:space="preserve">Armor</t>
  </si>
  <si>
    <t xml:space="preserve">Damage Threshold</t>
  </si>
  <si>
    <t xml:space="preserve">Damage Absorb</t>
  </si>
  <si>
    <t xml:space="preserve">Mass</t>
  </si>
  <si>
    <t xml:space="preserve">Hard Points</t>
  </si>
  <si>
    <t xml:space="preserve">Internal Slots</t>
  </si>
  <si>
    <t xml:space="preserve">Advanced Slots</t>
  </si>
  <si>
    <t xml:space="preserve">Cross Sec Area</t>
  </si>
  <si>
    <t xml:space="preserve">Stealth</t>
  </si>
  <si>
    <t xml:space="preserve">Idle Heat</t>
  </si>
  <si>
    <t xml:space="preserve">Base Armor</t>
  </si>
  <si>
    <t xml:space="preserve">Wing Area</t>
  </si>
  <si>
    <t xml:space="preserve">Takeoff Lift K</t>
  </si>
  <si>
    <t xml:space="preserve">Max Takeoff Force</t>
  </si>
  <si>
    <t xml:space="preserve">Max Carry Mass</t>
  </si>
  <si>
    <t xml:space="preserve">70% Speed Takeoff Force</t>
  </si>
  <si>
    <t xml:space="preserve">70% Speed Carry Mass</t>
  </si>
  <si>
    <t xml:space="preserve">Gravity</t>
  </si>
  <si>
    <t xml:space="preserve">Alexis Plane</t>
  </si>
  <si>
    <t xml:space="preserve">Lift Constant</t>
  </si>
  <si>
    <t xml:space="preserve">Javi Plane</t>
  </si>
  <si>
    <t xml:space="preserve">Wooden Plane</t>
  </si>
  <si>
    <t xml:space="preserve">E3 Sentry</t>
  </si>
  <si>
    <t xml:space="preserve">Bronco Plane</t>
  </si>
  <si>
    <t xml:space="preserve">Felix Plane</t>
  </si>
  <si>
    <t xml:space="preserve">Jason Plane</t>
  </si>
  <si>
    <t xml:space="preserve">Eden Plane</t>
  </si>
  <si>
    <t xml:space="preserve">Noah Chopper</t>
  </si>
  <si>
    <t xml:space="preserve">Air Speed (meters/tick)</t>
  </si>
  <si>
    <t xml:space="preserve">Turn Rate (deg/tick)</t>
  </si>
  <si>
    <t xml:space="preserve">km -&gt; m/s convert</t>
  </si>
  <si>
    <t xml:space="preserve">km -&gt; m/t convert</t>
  </si>
  <si>
    <t xml:space="preserve">m/s -&gt; m/t convert</t>
  </si>
  <si>
    <t xml:space="preserve">Speed Scale Factor</t>
  </si>
  <si>
    <t xml:space="preserve">Service Ceiling Scale</t>
  </si>
  <si>
    <t xml:space="preserve">Acc Gravity</t>
  </si>
  <si>
    <t xml:space="preserve">Speed of Sound (m/s)</t>
  </si>
  <si>
    <t xml:space="preserve">Speed of Sound (m/t)</t>
  </si>
  <si>
    <t xml:space="preserve">Speed of Sound Scaled (m/s)</t>
  </si>
  <si>
    <t xml:space="preserve">Speed of Sound Scaled (m/t)</t>
  </si>
  <si>
    <t xml:space="preserve">Lift Coefficient</t>
  </si>
  <si>
    <t xml:space="preserve">Real Life</t>
  </si>
  <si>
    <t xml:space="preserve">Empty Weight (kg)</t>
  </si>
  <si>
    <t xml:space="preserve">Max Takeoff Weight (kg)</t>
  </si>
  <si>
    <t xml:space="preserve">Thrust Dry (kN)</t>
  </si>
  <si>
    <t xml:space="preserve">Thrust Afterburner (kN)</t>
  </si>
  <si>
    <t xml:space="preserve">Thrust/Weight (Empty)</t>
  </si>
  <si>
    <t xml:space="preserve">Thrust/Weight (Max)</t>
  </si>
  <si>
    <t xml:space="preserve">Empty Takeoff Speed (km/h)</t>
  </si>
  <si>
    <t xml:space="preserve">Minimum 90 Bank Lift Speed (km/h)</t>
  </si>
  <si>
    <t xml:space="preserve">Cruise Speed(km/h)</t>
  </si>
  <si>
    <t xml:space="preserve">Max Speed at Sea Level (km/h)</t>
  </si>
  <si>
    <t xml:space="preserve">Max Speed at High Alt (km/h)</t>
  </si>
  <si>
    <t xml:space="preserve">Wing Area (m^2)</t>
  </si>
  <si>
    <t xml:space="preserve">Fuselage Area (m^2)</t>
  </si>
  <si>
    <t xml:space="preserve">Service Ceiling (m)</t>
  </si>
  <si>
    <t xml:space="preserve">Empty Takeoff LC</t>
  </si>
  <si>
    <t xml:space="preserve">Max Takeoff Speed (km/h)</t>
  </si>
  <si>
    <t xml:space="preserve">Drag Area (m^2)</t>
  </si>
  <si>
    <t xml:space="preserve">Sea Level Max Speed DC</t>
  </si>
  <si>
    <t xml:space="preserve">I Roll Axis (kg m^2)</t>
  </si>
  <si>
    <t xml:space="preserve">I Pitch Axis (kg m^2)</t>
  </si>
  <si>
    <t xml:space="preserve">I Yaw Axis (kg m^2)</t>
  </si>
  <si>
    <t xml:space="preserve">F16</t>
  </si>
  <si>
    <t xml:space="preserve">Mig29</t>
  </si>
  <si>
    <t xml:space="preserve">Mig21</t>
  </si>
  <si>
    <t xml:space="preserve">A10</t>
  </si>
  <si>
    <t xml:space="preserve">P51</t>
  </si>
  <si>
    <t xml:space="preserve">Real Life m/s</t>
  </si>
  <si>
    <t xml:space="preserve">Empty Takeoff Speed (m/s)</t>
  </si>
  <si>
    <t xml:space="preserve">Minimum 90 Bank Lift Speed (m/s)</t>
  </si>
  <si>
    <t xml:space="preserve">Cruise Speed (m/s)</t>
  </si>
  <si>
    <t xml:space="preserve">Max Speed at Sea Level (m/s)</t>
  </si>
  <si>
    <t xml:space="preserve">Max Speed at High Alt (m/s)</t>
  </si>
  <si>
    <t xml:space="preserve">Max Takeoff Speed (m/s)</t>
  </si>
  <si>
    <t xml:space="preserve">Real Life m/t</t>
  </si>
  <si>
    <t xml:space="preserve">Empty Takeoff Speed (m/t)</t>
  </si>
  <si>
    <t xml:space="preserve">Minimum 90 Bank Lift Speed (m/t)</t>
  </si>
  <si>
    <t xml:space="preserve">Cruise Speed (m/t)</t>
  </si>
  <si>
    <t xml:space="preserve">Max Speed at Sea Level (m/t)</t>
  </si>
  <si>
    <t xml:space="preserve">Max Speed at High Alt (m/t)</t>
  </si>
  <si>
    <t xml:space="preserve">Max Takeoff Speed (m/t)</t>
  </si>
  <si>
    <t xml:space="preserve">In Game m/s</t>
  </si>
  <si>
    <t xml:space="preserve">In Game m/t</t>
  </si>
  <si>
    <t xml:space="preserve">Vehicle</t>
  </si>
  <si>
    <t xml:space="preserve">Altitude IRL</t>
  </si>
  <si>
    <t xml:space="preserve">Altitude Scaled</t>
  </si>
  <si>
    <t xml:space="preserve">F-16C</t>
  </si>
  <si>
    <t xml:space="preserve">IRL Speed (km/h)</t>
  </si>
  <si>
    <t xml:space="preserve">Scaled Speed (m/s)</t>
  </si>
  <si>
    <t xml:space="preserve">Scaled Speed (m/t)</t>
  </si>
  <si>
    <t xml:space="preserve">Turn Rate (deg/sec)</t>
  </si>
  <si>
    <t xml:space="preserve">AOA</t>
  </si>
  <si>
    <t xml:space="preserve">MIG-29A</t>
  </si>
  <si>
    <t xml:space="preserve">F/A-18C</t>
  </si>
  <si>
    <t xml:space="preserve">MiG-21</t>
  </si>
  <si>
    <t xml:space="preserve">Weight (kg)</t>
  </si>
  <si>
    <t xml:space="preserve">Range IRL (km)</t>
  </si>
  <si>
    <t xml:space="preserve">Range Scaled (m)</t>
  </si>
  <si>
    <t xml:space="preserve">Max Age (Sec)</t>
  </si>
  <si>
    <t xml:space="preserve">Max Age (Ticks)</t>
  </si>
  <si>
    <t xml:space="preserve">Burn Time (Sec)</t>
  </si>
  <si>
    <t xml:space="preserve">Burn Time (Ticks)</t>
  </si>
  <si>
    <t xml:space="preserve">AIM-120B</t>
  </si>
  <si>
    <t xml:space="preserve">AIM-120C</t>
  </si>
  <si>
    <t xml:space="preserve">AIM-7F</t>
  </si>
  <si>
    <t xml:space="preserve">AIM-7MH</t>
  </si>
  <si>
    <t xml:space="preserve">METEOR</t>
  </si>
  <si>
    <t xml:space="preserve">PAC-3</t>
  </si>
  <si>
    <t xml:space="preserve">BGM-109</t>
  </si>
  <si>
    <t xml:space="preserve">AIM-9L</t>
  </si>
  <si>
    <t xml:space="preserve">AIM-9P5</t>
  </si>
  <si>
    <t xml:space="preserve">AIM-9X</t>
  </si>
  <si>
    <t xml:space="preserve">AGM-88G</t>
  </si>
  <si>
    <t xml:space="preserve">Max Range</t>
  </si>
  <si>
    <t xml:space="preserve">AR-500</t>
  </si>
  <si>
    <t xml:space="preserve">AR-1K</t>
  </si>
  <si>
    <t xml:space="preserve">AR-2K</t>
  </si>
  <si>
    <t xml:space="preserve">AR-20K</t>
  </si>
  <si>
    <t xml:space="preserve">Axcel Truck Radar</t>
  </si>
  <si>
    <t xml:space="preserve">Air Scan A</t>
  </si>
  <si>
    <t xml:space="preserve">Air Scan B</t>
  </si>
  <si>
    <t xml:space="preserve">EWR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</si>
</sst>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%"/>
    <numFmt numFmtId="168" formatCode="General"/>
    <numFmt numFmtId="169" formatCode="#,##0.00"/>
    <numFmt numFmtId="170" formatCode="#,##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A61D4C"/>
      <name val="Arial"/>
      <family val="0"/>
      <charset val="1"/>
    </font>
    <font>
      <sz val="9"/>
      <color rgb="FF11A9CC"/>
      <name val="Arial"/>
      <family val="0"/>
      <charset val="1"/>
    </font>
    <font>
      <sz val="11"/>
      <color rgb="FF000000"/>
      <name val="&quot;Arial&quot;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CC99FF"/>
      </patternFill>
    </fill>
    <fill>
      <patternFill patternType="solid">
        <fgColor rgb="FFF9CB9C"/>
        <bgColor rgb="FFD5A6BD"/>
      </patternFill>
    </fill>
    <fill>
      <patternFill patternType="solid">
        <fgColor rgb="FFDD7E6B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A61D4C"/>
      </patternFill>
    </fill>
    <fill>
      <patternFill patternType="solid">
        <fgColor rgb="FF00FF00"/>
        <bgColor rgb="FF00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FF00FF"/>
      </font>
      <fill>
        <patternFill/>
      </fill>
    </dxf>
    <dxf>
      <font>
        <color rgb="FF00FFFF"/>
      </font>
      <fill>
        <patternFill/>
      </fill>
    </dxf>
    <dxf>
      <font>
        <color rgb="FF00FF00"/>
      </font>
      <fill>
        <patternFill/>
      </fill>
    </dxf>
    <dxf>
      <font>
        <color rgb="FFFFFF00"/>
      </font>
      <fill>
        <patternFill/>
      </fill>
    </dxf>
    <dxf>
      <font>
        <color rgb="FFFF9900"/>
      </font>
      <fill>
        <patternFill/>
      </fill>
    </dxf>
    <dxf>
      <font>
        <color rgb="FFFF0000"/>
      </font>
      <fill>
        <patternFill/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A61D4C"/>
      <rgbColor rgb="FFFFFFCC"/>
      <rgbColor rgb="FFCCFFFF"/>
      <rgbColor rgb="FF660066"/>
      <rgbColor rgb="FFDD7E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9CB9C"/>
      <rgbColor rgb="FF3366FF"/>
      <rgbColor rgb="FF11A9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9.88"/>
    <col collapsed="false" customWidth="true" hidden="false" outlineLevel="0" max="3" min="3" style="0" width="10.25"/>
    <col collapsed="false" customWidth="true" hidden="false" outlineLevel="0" max="4" min="4" style="0" width="11.12"/>
    <col collapsed="false" customWidth="true" hidden="false" outlineLevel="0" max="5" min="5" style="0" width="13.88"/>
    <col collapsed="false" customWidth="true" hidden="false" outlineLevel="0" max="6" min="6" style="0" width="14.51"/>
    <col collapsed="false" customWidth="true" hidden="false" outlineLevel="0" max="7" min="7" style="0" width="13.88"/>
    <col collapsed="false" customWidth="true" hidden="false" outlineLevel="0" max="8" min="8" style="0" width="6.63"/>
    <col collapsed="false" customWidth="true" hidden="false" outlineLevel="0" max="9" min="9" style="0" width="5.75"/>
    <col collapsed="false" customWidth="true" hidden="false" outlineLevel="0" max="10" min="10" style="0" width="16.25"/>
    <col collapsed="false" customWidth="true" hidden="false" outlineLevel="0" max="11" min="11" style="0" width="14"/>
    <col collapsed="false" customWidth="true" hidden="false" outlineLevel="0" max="12" min="12" style="0" width="6"/>
    <col collapsed="false" customWidth="true" hidden="false" outlineLevel="0" max="13" min="13" style="0" width="10.51"/>
    <col collapsed="false" customWidth="true" hidden="false" outlineLevel="0" max="14" min="14" style="0" width="11.89"/>
    <col collapsed="false" customWidth="true" hidden="false" outlineLevel="0" max="15" min="15" style="0" width="13.63"/>
    <col collapsed="false" customWidth="true" hidden="false" outlineLevel="0" max="16" min="16" style="0" width="13.25"/>
    <col collapsed="false" customWidth="true" hidden="false" outlineLevel="0" max="17" min="17" style="0" width="6.88"/>
    <col collapsed="false" customWidth="true" hidden="false" outlineLevel="0" max="18" min="18" style="0" width="8.38"/>
    <col collapsed="false" customWidth="true" hidden="false" outlineLevel="0" max="19" min="19" style="0" width="10.51"/>
    <col collapsed="false" customWidth="true" hidden="false" outlineLevel="0" max="20" min="20" style="0" width="9.63"/>
    <col collapsed="false" customWidth="true" hidden="false" outlineLevel="0" max="21" min="21" style="0" width="11.89"/>
    <col collapsed="false" customWidth="true" hidden="false" outlineLevel="0" max="22" min="22" style="0" width="15.63"/>
    <col collapsed="false" customWidth="true" hidden="false" outlineLevel="0" max="23" min="23" style="0" width="14"/>
    <col collapsed="false" customWidth="true" hidden="false" outlineLevel="0" max="24" min="24" style="0" width="20.75"/>
    <col collapsed="false" customWidth="true" hidden="false" outlineLevel="0" max="25" min="25" style="0" width="1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A1" s="2" t="s">
        <v>25</v>
      </c>
      <c r="AB1" s="2" t="n">
        <v>0.08</v>
      </c>
    </row>
    <row r="2" customFormat="false" ht="15.75" hidden="false" customHeight="false" outlineLevel="0" collapsed="false">
      <c r="A2" s="2" t="s">
        <v>26</v>
      </c>
      <c r="B2" s="3" t="n">
        <v>1.4</v>
      </c>
      <c r="C2" s="4" t="n">
        <f aca="false">B2*20</f>
        <v>28</v>
      </c>
      <c r="D2" s="4" t="n">
        <f aca="false">C2*60*60*0.001</f>
        <v>100.8</v>
      </c>
      <c r="E2" s="2" t="n">
        <v>6</v>
      </c>
      <c r="F2" s="2" t="n">
        <v>2.5</v>
      </c>
      <c r="G2" s="2" t="n">
        <v>1.5</v>
      </c>
      <c r="H2" s="2" t="n">
        <v>100</v>
      </c>
      <c r="I2" s="2" t="n">
        <v>40</v>
      </c>
      <c r="J2" s="2" t="n">
        <v>2.5</v>
      </c>
      <c r="K2" s="5" t="n">
        <v>0.12</v>
      </c>
      <c r="L2" s="2" t="n">
        <v>8500</v>
      </c>
      <c r="M2" s="2" t="n">
        <v>9</v>
      </c>
      <c r="N2" s="2" t="n">
        <v>2</v>
      </c>
      <c r="O2" s="2" t="n">
        <v>3</v>
      </c>
      <c r="P2" s="2" t="n">
        <v>4</v>
      </c>
      <c r="Q2" s="2" t="n">
        <v>0.9</v>
      </c>
      <c r="R2" s="2" t="n">
        <v>4</v>
      </c>
      <c r="S2" s="2" t="n">
        <v>2</v>
      </c>
      <c r="T2" s="2" t="n">
        <v>28</v>
      </c>
      <c r="U2" s="3" t="n">
        <v>0.58</v>
      </c>
      <c r="V2" s="4" t="n">
        <f aca="false">U2*B2*B2*T2*AB$2</f>
        <v>2228.128</v>
      </c>
      <c r="W2" s="4" t="n">
        <f aca="false">V2/AB$1-L2</f>
        <v>19351.6</v>
      </c>
      <c r="X2" s="6" t="n">
        <f aca="false">U2*B2*B2*0.49*T2*AB$2</f>
        <v>1091.78272</v>
      </c>
      <c r="Y2" s="7" t="n">
        <f aca="false">X2/AB$1-L2</f>
        <v>5147.284</v>
      </c>
      <c r="AA2" s="2" t="s">
        <v>27</v>
      </c>
      <c r="AB2" s="2" t="n">
        <v>70</v>
      </c>
    </row>
    <row r="3" customFormat="false" ht="15.75" hidden="false" customHeight="false" outlineLevel="0" collapsed="false">
      <c r="A3" s="2" t="s">
        <v>28</v>
      </c>
      <c r="B3" s="3" t="n">
        <v>1.05</v>
      </c>
      <c r="C3" s="4" t="n">
        <f aca="false">B3*20</f>
        <v>21</v>
      </c>
      <c r="D3" s="4" t="n">
        <f aca="false">C3*60*60*0.001</f>
        <v>75.6</v>
      </c>
      <c r="E3" s="2" t="n">
        <v>4</v>
      </c>
      <c r="F3" s="2" t="n">
        <v>2.1</v>
      </c>
      <c r="G3" s="2" t="n">
        <v>1.1</v>
      </c>
      <c r="H3" s="2" t="n">
        <v>150</v>
      </c>
      <c r="I3" s="2" t="n">
        <v>100</v>
      </c>
      <c r="J3" s="2" t="n">
        <v>7</v>
      </c>
      <c r="K3" s="5" t="n">
        <v>0.3</v>
      </c>
      <c r="L3" s="2" t="n">
        <v>11300</v>
      </c>
      <c r="M3" s="2" t="n">
        <v>10</v>
      </c>
      <c r="N3" s="2" t="n">
        <v>1</v>
      </c>
      <c r="O3" s="2" t="n">
        <v>3</v>
      </c>
      <c r="P3" s="2" t="n">
        <v>7</v>
      </c>
      <c r="Q3" s="2" t="n">
        <v>1</v>
      </c>
      <c r="R3" s="2" t="n">
        <v>5</v>
      </c>
      <c r="S3" s="2" t="n">
        <v>9</v>
      </c>
      <c r="T3" s="2" t="n">
        <v>47</v>
      </c>
      <c r="U3" s="3" t="n">
        <v>1.01</v>
      </c>
      <c r="V3" s="4" t="n">
        <f aca="false">U3*B3*B3*T3*AB$2</f>
        <v>3663.49725</v>
      </c>
      <c r="W3" s="4" t="n">
        <f aca="false">V3/AB$1-L3</f>
        <v>34493.715625</v>
      </c>
      <c r="X3" s="6" t="n">
        <f aca="false">U3*B3*B3*0.49*T3*AB$2</f>
        <v>1795.1136525</v>
      </c>
      <c r="Y3" s="7" t="n">
        <f aca="false">X3/AB$1-L3</f>
        <v>11138.92065625</v>
      </c>
    </row>
    <row r="4" customFormat="false" ht="15.75" hidden="false" customHeight="false" outlineLevel="0" collapsed="false">
      <c r="A4" s="2" t="s">
        <v>29</v>
      </c>
      <c r="B4" s="3" t="n">
        <v>0.7</v>
      </c>
      <c r="C4" s="4" t="n">
        <f aca="false">B4*20</f>
        <v>14</v>
      </c>
      <c r="D4" s="4" t="n">
        <f aca="false">C4*60*60*0.001</f>
        <v>50.4</v>
      </c>
      <c r="E4" s="2" t="n">
        <v>5</v>
      </c>
      <c r="F4" s="2" t="n">
        <v>3</v>
      </c>
      <c r="G4" s="2" t="n">
        <v>2</v>
      </c>
      <c r="H4" s="2" t="n">
        <v>40</v>
      </c>
      <c r="I4" s="2" t="n">
        <v>0</v>
      </c>
      <c r="J4" s="2" t="n">
        <v>0.5</v>
      </c>
      <c r="K4" s="5" t="n">
        <v>0</v>
      </c>
      <c r="L4" s="2" t="n">
        <v>500</v>
      </c>
      <c r="M4" s="2" t="n">
        <v>2</v>
      </c>
      <c r="N4" s="2" t="n">
        <v>2</v>
      </c>
      <c r="O4" s="2" t="n">
        <v>0</v>
      </c>
      <c r="P4" s="2" t="n">
        <v>2</v>
      </c>
      <c r="Q4" s="2" t="n">
        <v>1</v>
      </c>
      <c r="R4" s="2" t="n">
        <v>1</v>
      </c>
      <c r="S4" s="2" t="n">
        <v>0</v>
      </c>
      <c r="T4" s="2" t="n">
        <v>8</v>
      </c>
      <c r="U4" s="3" t="n">
        <v>0.84</v>
      </c>
      <c r="V4" s="4" t="n">
        <f aca="false">U4*B4*B4*T4*AB$2</f>
        <v>230.496</v>
      </c>
      <c r="W4" s="4" t="n">
        <f aca="false">V4/AB$1-L4</f>
        <v>2381.2</v>
      </c>
      <c r="X4" s="6" t="n">
        <f aca="false">U4*B4*B4*0.49*T4*AB$2</f>
        <v>112.94304</v>
      </c>
      <c r="Y4" s="7" t="n">
        <f aca="false">X4/AB$1-L4</f>
        <v>911.788</v>
      </c>
    </row>
    <row r="5" customFormat="false" ht="15.75" hidden="false" customHeight="false" outlineLevel="0" collapsed="false">
      <c r="A5" s="2" t="s">
        <v>30</v>
      </c>
      <c r="B5" s="3" t="n">
        <v>1</v>
      </c>
      <c r="C5" s="4" t="n">
        <f aca="false">B5*20</f>
        <v>20</v>
      </c>
      <c r="D5" s="4" t="n">
        <f aca="false">C5*60*60*0.001</f>
        <v>72</v>
      </c>
      <c r="E5" s="2" t="n">
        <v>3</v>
      </c>
      <c r="F5" s="2" t="n">
        <v>2</v>
      </c>
      <c r="G5" s="2" t="n">
        <v>2</v>
      </c>
      <c r="H5" s="2" t="n">
        <v>200</v>
      </c>
      <c r="I5" s="2" t="n">
        <v>100</v>
      </c>
      <c r="J5" s="2" t="n">
        <v>3</v>
      </c>
      <c r="K5" s="5" t="n">
        <v>0.05</v>
      </c>
      <c r="L5" s="2" t="n">
        <v>83900</v>
      </c>
      <c r="M5" s="2" t="n">
        <v>0</v>
      </c>
      <c r="N5" s="2" t="n">
        <v>4</v>
      </c>
      <c r="O5" s="2" t="n">
        <v>4</v>
      </c>
      <c r="P5" s="2" t="n">
        <v>16</v>
      </c>
      <c r="Q5" s="2" t="n">
        <v>1.2</v>
      </c>
      <c r="R5" s="2" t="n">
        <v>20</v>
      </c>
      <c r="S5" s="2" t="n">
        <v>4</v>
      </c>
      <c r="T5" s="8" t="n">
        <v>283</v>
      </c>
      <c r="U5" s="3" t="n">
        <v>0.86</v>
      </c>
      <c r="V5" s="4" t="n">
        <f aca="false">U5*B5*B5*T5*AB$2</f>
        <v>17036.6</v>
      </c>
      <c r="W5" s="4" t="n">
        <f aca="false">V5/AB$1-L5</f>
        <v>129057.5</v>
      </c>
      <c r="X5" s="6" t="n">
        <f aca="false">U5*B5*B5*0.49*T5*AB$2</f>
        <v>8347.934</v>
      </c>
      <c r="Y5" s="7" t="n">
        <f aca="false">X5/AB$1-L5</f>
        <v>20449.175</v>
      </c>
    </row>
    <row r="6" customFormat="false" ht="15.75" hidden="false" customHeight="false" outlineLevel="0" collapsed="false">
      <c r="A6" s="2" t="s">
        <v>31</v>
      </c>
      <c r="B6" s="3" t="n">
        <v>0.85</v>
      </c>
      <c r="C6" s="4" t="n">
        <f aca="false">B6*20</f>
        <v>17</v>
      </c>
      <c r="D6" s="4" t="n">
        <f aca="false">C6*60*60*0.001</f>
        <v>61.2</v>
      </c>
      <c r="E6" s="2" t="n">
        <v>2.5</v>
      </c>
      <c r="F6" s="2" t="n">
        <v>1.2</v>
      </c>
      <c r="G6" s="2" t="n">
        <v>0.9</v>
      </c>
      <c r="H6" s="2" t="n">
        <v>80</v>
      </c>
      <c r="I6" s="2" t="n">
        <v>10</v>
      </c>
      <c r="J6" s="2" t="n">
        <v>1</v>
      </c>
      <c r="K6" s="5" t="n">
        <v>0.02</v>
      </c>
      <c r="L6" s="2" t="n">
        <v>3100</v>
      </c>
      <c r="M6" s="2" t="n">
        <v>7</v>
      </c>
      <c r="N6" s="2" t="n">
        <v>2</v>
      </c>
      <c r="O6" s="2" t="n">
        <v>0</v>
      </c>
      <c r="P6" s="2" t="n">
        <v>5</v>
      </c>
      <c r="Q6" s="2" t="n">
        <v>1</v>
      </c>
      <c r="R6" s="2" t="n">
        <v>3</v>
      </c>
      <c r="S6" s="2" t="n">
        <v>1</v>
      </c>
      <c r="T6" s="2" t="n">
        <v>27</v>
      </c>
      <c r="U6" s="3" t="n">
        <v>0.95</v>
      </c>
      <c r="V6" s="4" t="n">
        <f aca="false">U6*B6*B6*T6*AB$2</f>
        <v>1297.24875</v>
      </c>
      <c r="W6" s="4" t="n">
        <f aca="false">V6/AB$1-L6</f>
        <v>13115.609375</v>
      </c>
      <c r="X6" s="6" t="n">
        <f aca="false">U6*B6*B6*0.49*T6*AB$2</f>
        <v>635.6518875</v>
      </c>
      <c r="Y6" s="7" t="n">
        <f aca="false">X6/AB$1-L6</f>
        <v>4845.64859375</v>
      </c>
    </row>
    <row r="7" customFormat="false" ht="15.75" hidden="false" customHeight="false" outlineLevel="0" collapsed="false">
      <c r="A7" s="2" t="s">
        <v>32</v>
      </c>
      <c r="B7" s="3" t="n">
        <v>1.25</v>
      </c>
      <c r="C7" s="4" t="n">
        <f aca="false">B7*20</f>
        <v>25</v>
      </c>
      <c r="D7" s="4" t="n">
        <f aca="false">C7*60*60*0.001</f>
        <v>90</v>
      </c>
      <c r="E7" s="2" t="n">
        <v>5</v>
      </c>
      <c r="F7" s="2" t="n">
        <v>2.15</v>
      </c>
      <c r="G7" s="2" t="n">
        <v>1.15</v>
      </c>
      <c r="H7" s="2" t="n">
        <v>100</v>
      </c>
      <c r="I7" s="2" t="n">
        <v>20</v>
      </c>
      <c r="J7" s="2" t="n">
        <v>2</v>
      </c>
      <c r="K7" s="5" t="n">
        <v>0.08</v>
      </c>
      <c r="L7" s="2" t="n">
        <v>5200</v>
      </c>
      <c r="M7" s="2" t="n">
        <v>6</v>
      </c>
      <c r="N7" s="2" t="n">
        <v>2</v>
      </c>
      <c r="O7" s="2" t="n">
        <v>1</v>
      </c>
      <c r="P7" s="2" t="n">
        <v>4</v>
      </c>
      <c r="Q7" s="2" t="n">
        <v>0.95</v>
      </c>
      <c r="R7" s="2" t="n">
        <v>6</v>
      </c>
      <c r="S7" s="2" t="n">
        <v>2</v>
      </c>
      <c r="T7" s="2" t="n">
        <v>23</v>
      </c>
      <c r="U7" s="3" t="n">
        <v>0.58</v>
      </c>
      <c r="V7" s="4" t="n">
        <f aca="false">U7*B7*B7*T7*AB$2</f>
        <v>1459.0625</v>
      </c>
      <c r="W7" s="4" t="n">
        <f aca="false">V7/AB$1-L7</f>
        <v>13038.28125</v>
      </c>
      <c r="X7" s="6" t="n">
        <f aca="false">U7*B7*B7*0.49*T7*AB$2</f>
        <v>714.940625</v>
      </c>
      <c r="Y7" s="7" t="n">
        <f aca="false">X7/AB$1-L7</f>
        <v>3736.7578125</v>
      </c>
    </row>
    <row r="8" customFormat="false" ht="15.75" hidden="false" customHeight="false" outlineLevel="0" collapsed="false">
      <c r="A8" s="2" t="s">
        <v>33</v>
      </c>
      <c r="B8" s="3" t="n">
        <v>0.8</v>
      </c>
      <c r="C8" s="4" t="n">
        <f aca="false">B8*20</f>
        <v>16</v>
      </c>
      <c r="D8" s="4" t="n">
        <f aca="false">C8*60*60*0.001</f>
        <v>57.6</v>
      </c>
      <c r="E8" s="2" t="n">
        <v>5</v>
      </c>
      <c r="F8" s="2" t="n">
        <v>3</v>
      </c>
      <c r="G8" s="2" t="n">
        <v>2</v>
      </c>
      <c r="H8" s="2" t="n">
        <v>50</v>
      </c>
      <c r="I8" s="2" t="n">
        <v>10</v>
      </c>
      <c r="J8" s="2" t="n">
        <v>1</v>
      </c>
      <c r="K8" s="5" t="n">
        <v>0.04</v>
      </c>
      <c r="L8" s="2" t="n">
        <v>1100</v>
      </c>
      <c r="M8" s="2" t="n">
        <v>3</v>
      </c>
      <c r="N8" s="2" t="n">
        <v>3</v>
      </c>
      <c r="O8" s="2" t="n">
        <v>0</v>
      </c>
      <c r="P8" s="2" t="n">
        <v>3</v>
      </c>
      <c r="Q8" s="2" t="n">
        <v>1</v>
      </c>
      <c r="R8" s="2" t="n">
        <v>1.5</v>
      </c>
      <c r="S8" s="2" t="n">
        <v>0</v>
      </c>
      <c r="T8" s="2" t="n">
        <v>15</v>
      </c>
      <c r="U8" s="3" t="n">
        <v>0.84</v>
      </c>
      <c r="V8" s="4" t="n">
        <f aca="false">U8*B8*B8*T8*AB$2</f>
        <v>564.48</v>
      </c>
      <c r="W8" s="4" t="n">
        <f aca="false">V8/AB$1-L8</f>
        <v>5956</v>
      </c>
      <c r="X8" s="6" t="n">
        <f aca="false">U8*B8*B8*0.49*T8*AB$2</f>
        <v>276.5952</v>
      </c>
      <c r="Y8" s="7" t="n">
        <f aca="false">X8/AB$1-L8</f>
        <v>2357.44</v>
      </c>
    </row>
    <row r="9" customFormat="false" ht="15.75" hidden="false" customHeight="false" outlineLevel="0" collapsed="false">
      <c r="A9" s="2" t="s">
        <v>34</v>
      </c>
      <c r="B9" s="2" t="n">
        <v>1.5</v>
      </c>
      <c r="C9" s="4" t="n">
        <f aca="false">B9*20</f>
        <v>30</v>
      </c>
      <c r="D9" s="4" t="n">
        <f aca="false">C9*60*60*0.001</f>
        <v>108</v>
      </c>
      <c r="E9" s="2" t="n">
        <v>5.5</v>
      </c>
      <c r="F9" s="2" t="n">
        <v>2.25</v>
      </c>
      <c r="G9" s="2" t="n">
        <v>1.25</v>
      </c>
      <c r="H9" s="2" t="n">
        <v>100</v>
      </c>
      <c r="I9" s="2" t="n">
        <v>60</v>
      </c>
      <c r="J9" s="2" t="n">
        <v>3</v>
      </c>
      <c r="K9" s="5" t="n">
        <v>0.15</v>
      </c>
      <c r="L9" s="2" t="n">
        <v>11000</v>
      </c>
      <c r="M9" s="2" t="n">
        <v>7</v>
      </c>
      <c r="N9" s="2" t="n">
        <v>2</v>
      </c>
      <c r="O9" s="2" t="n">
        <v>3</v>
      </c>
      <c r="P9" s="2" t="n">
        <v>4.5</v>
      </c>
      <c r="Q9" s="2" t="n">
        <v>0.95</v>
      </c>
      <c r="R9" s="2" t="n">
        <v>5</v>
      </c>
      <c r="S9" s="2" t="n">
        <v>3</v>
      </c>
      <c r="T9" s="2" t="n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9.63"/>
    <col collapsed="false" customWidth="true" hidden="false" outlineLevel="0" max="3" min="3" style="0" width="10.51"/>
    <col collapsed="false" customWidth="true" hidden="false" outlineLevel="0" max="4" min="4" style="0" width="11.12"/>
    <col collapsed="false" customWidth="true" hidden="false" outlineLevel="0" max="5" min="5" style="0" width="6.25"/>
    <col collapsed="false" customWidth="true" hidden="false" outlineLevel="0" max="6" min="6" style="0" width="7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11</v>
      </c>
    </row>
    <row r="2" customFormat="false" ht="15.75" hidden="false" customHeight="false" outlineLevel="0" collapsed="false">
      <c r="A2" s="2" t="s">
        <v>35</v>
      </c>
      <c r="B2" s="2" t="n">
        <v>0.7</v>
      </c>
      <c r="C2" s="9" t="n">
        <f aca="false">B2*20</f>
        <v>14</v>
      </c>
      <c r="D2" s="9" t="n">
        <f aca="false">C2*60*60*0.001</f>
        <v>50.4</v>
      </c>
      <c r="E2" s="2" t="n">
        <v>200</v>
      </c>
      <c r="F2" s="2" t="n">
        <v>6000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7" activeCellId="0" sqref="N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12"/>
    <col collapsed="false" customWidth="true" hidden="false" outlineLevel="0" max="9" min="2" style="0" width="7.88"/>
    <col collapsed="false" customWidth="true" hidden="false" outlineLevel="0" max="10" min="10" style="0" width="9.87"/>
    <col collapsed="false" customWidth="true" hidden="false" outlineLevel="0" max="11" min="11" style="0" width="10.85"/>
    <col collapsed="false" customWidth="true" hidden="false" outlineLevel="0" max="12" min="12" style="0" width="9.73"/>
    <col collapsed="false" customWidth="true" hidden="false" outlineLevel="0" max="13" min="13" style="0" width="11.4"/>
    <col collapsed="false" customWidth="true" hidden="false" outlineLevel="0" max="14" min="14" style="0" width="10.85"/>
    <col collapsed="false" customWidth="true" hidden="false" outlineLevel="0" max="15" min="15" style="0" width="9.32"/>
    <col collapsed="false" customWidth="true" hidden="false" outlineLevel="0" max="21" min="16" style="0" width="7.88"/>
  </cols>
  <sheetData>
    <row r="1" customFormat="false" ht="15.75" hidden="false" customHeight="false" outlineLevel="0" collapsed="false">
      <c r="B1" s="2" t="s">
        <v>36</v>
      </c>
    </row>
    <row r="2" customFormat="false" ht="15.75" hidden="false" customHeight="false" outlineLevel="0" collapsed="false">
      <c r="A2" s="2" t="s">
        <v>37</v>
      </c>
      <c r="B2" s="10" t="n">
        <f aca="false">(COLUMN()-1)*0.1</f>
        <v>0.1</v>
      </c>
      <c r="C2" s="10" t="n">
        <f aca="false">(COLUMN()-1)*0.1</f>
        <v>0.2</v>
      </c>
      <c r="D2" s="10" t="n">
        <f aca="false">(COLUMN()-1)*0.1</f>
        <v>0.3</v>
      </c>
      <c r="E2" s="10" t="n">
        <f aca="false">(COLUMN()-1)*0.1</f>
        <v>0.4</v>
      </c>
      <c r="F2" s="10" t="n">
        <f aca="false">(COLUMN()-1)*0.1</f>
        <v>0.5</v>
      </c>
      <c r="G2" s="10" t="n">
        <f aca="false">(COLUMN()-1)*0.1</f>
        <v>0.6</v>
      </c>
      <c r="H2" s="10" t="n">
        <f aca="false">(COLUMN()-1)*0.1</f>
        <v>0.7</v>
      </c>
      <c r="I2" s="10" t="n">
        <f aca="false">(COLUMN()-1)*0.1</f>
        <v>0.8</v>
      </c>
      <c r="J2" s="10" t="n">
        <f aca="false">(COLUMN()-1)*0.1</f>
        <v>0.9</v>
      </c>
      <c r="K2" s="10" t="n">
        <f aca="false">(COLUMN()-1)*0.1</f>
        <v>1</v>
      </c>
      <c r="L2" s="10" t="n">
        <f aca="false">(COLUMN()-1)*0.1</f>
        <v>1.1</v>
      </c>
      <c r="M2" s="10" t="n">
        <f aca="false">(COLUMN()-1)*0.1</f>
        <v>1.2</v>
      </c>
      <c r="N2" s="10" t="n">
        <f aca="false">(COLUMN()-1)*0.1</f>
        <v>1.3</v>
      </c>
      <c r="O2" s="10" t="n">
        <f aca="false">(COLUMN()-1)*0.1</f>
        <v>1.4</v>
      </c>
      <c r="P2" s="10" t="n">
        <f aca="false">(COLUMN()-1)*0.1</f>
        <v>1.5</v>
      </c>
      <c r="Q2" s="10" t="n">
        <f aca="false">(COLUMN()-1)*0.1</f>
        <v>1.6</v>
      </c>
      <c r="R2" s="10" t="n">
        <f aca="false">(COLUMN()-1)*0.1</f>
        <v>1.7</v>
      </c>
      <c r="S2" s="10" t="n">
        <f aca="false">(COLUMN()-1)*0.1</f>
        <v>1.8</v>
      </c>
      <c r="T2" s="10" t="n">
        <f aca="false">(COLUMN()-1)*0.1</f>
        <v>1.9</v>
      </c>
      <c r="U2" s="10" t="n">
        <f aca="false">(COLUMN()-1)*0.1</f>
        <v>2</v>
      </c>
    </row>
    <row r="3" customFormat="false" ht="15.75" hidden="false" customHeight="false" outlineLevel="0" collapsed="false">
      <c r="A3" s="2" t="n">
        <f aca="false">(ROW()-2)*0.05</f>
        <v>0.05</v>
      </c>
      <c r="B3" s="11" t="n">
        <f aca="false">B$2 / RADIANS($A3)</f>
        <v>114.591559026165</v>
      </c>
      <c r="C3" s="11" t="n">
        <f aca="false">C$2 / RADIANS($A3)</f>
        <v>229.183118052329</v>
      </c>
      <c r="D3" s="11" t="n">
        <f aca="false">D$2 / RADIANS($A3)</f>
        <v>343.774677078494</v>
      </c>
      <c r="E3" s="11" t="n">
        <f aca="false">E$2 / RADIANS($A3)</f>
        <v>458.366236104659</v>
      </c>
      <c r="F3" s="11" t="n">
        <f aca="false">F$2 / RADIANS($A3)</f>
        <v>572.957795130823</v>
      </c>
      <c r="G3" s="11" t="n">
        <f aca="false">G$2 / RADIANS($A3)</f>
        <v>687.549354156988</v>
      </c>
      <c r="H3" s="11" t="n">
        <f aca="false">H$2 / RADIANS($A3)</f>
        <v>802.140913183153</v>
      </c>
      <c r="I3" s="11" t="n">
        <f aca="false">I$2 / RADIANS($A3)</f>
        <v>916.732472209317</v>
      </c>
      <c r="J3" s="11" t="n">
        <f aca="false">J$2 / RADIANS($A3)</f>
        <v>1031.32403123548</v>
      </c>
      <c r="K3" s="11" t="n">
        <f aca="false">K$2 / RADIANS($A3)</f>
        <v>1145.91559026165</v>
      </c>
      <c r="L3" s="11" t="n">
        <f aca="false">L$2 / RADIANS($A3)</f>
        <v>1260.50714928781</v>
      </c>
      <c r="M3" s="11" t="n">
        <f aca="false">M$2 / RADIANS($A3)</f>
        <v>1375.09870831398</v>
      </c>
      <c r="N3" s="11" t="n">
        <f aca="false">N$2 / RADIANS($A3)</f>
        <v>1489.69026734014</v>
      </c>
      <c r="O3" s="11" t="n">
        <f aca="false">O$2 / RADIANS($A3)</f>
        <v>1604.28182636631</v>
      </c>
      <c r="P3" s="11" t="n">
        <f aca="false">P$2 / RADIANS($A3)</f>
        <v>1718.87338539247</v>
      </c>
      <c r="Q3" s="11" t="n">
        <f aca="false">Q$2 / RADIANS($A3)</f>
        <v>1833.46494441863</v>
      </c>
      <c r="R3" s="11" t="n">
        <f aca="false">R$2 / RADIANS($A3)</f>
        <v>1948.0565034448</v>
      </c>
      <c r="S3" s="11" t="n">
        <f aca="false">S$2 / RADIANS($A3)</f>
        <v>2062.64806247096</v>
      </c>
      <c r="T3" s="11" t="n">
        <f aca="false">T$2 / RADIANS($A3)</f>
        <v>2177.23962149713</v>
      </c>
      <c r="U3" s="11" t="n">
        <f aca="false">U$2 / RADIANS($A3)</f>
        <v>2291.83118052329</v>
      </c>
    </row>
    <row r="4" customFormat="false" ht="15.75" hidden="false" customHeight="false" outlineLevel="0" collapsed="false">
      <c r="A4" s="2" t="n">
        <f aca="false">(ROW()-2)*0.05</f>
        <v>0.1</v>
      </c>
      <c r="B4" s="11" t="n">
        <f aca="false">B$2 / RADIANS($A4)</f>
        <v>57.2957795130823</v>
      </c>
      <c r="C4" s="11" t="n">
        <f aca="false">C$2 / RADIANS($A4)</f>
        <v>114.591559026165</v>
      </c>
      <c r="D4" s="12" t="n">
        <f aca="false">D$2 / RADIANS($A4)</f>
        <v>171.887338539247</v>
      </c>
      <c r="E4" s="11" t="n">
        <f aca="false">E$2 / RADIANS($A4)</f>
        <v>229.183118052329</v>
      </c>
      <c r="F4" s="11" t="n">
        <f aca="false">F$2 / RADIANS($A4)</f>
        <v>286.478897565412</v>
      </c>
      <c r="G4" s="11" t="n">
        <f aca="false">G$2 / RADIANS($A4)</f>
        <v>343.774677078494</v>
      </c>
      <c r="H4" s="11" t="n">
        <f aca="false">H$2 / RADIANS($A4)</f>
        <v>401.070456591576</v>
      </c>
      <c r="I4" s="11" t="n">
        <f aca="false">I$2 / RADIANS($A4)</f>
        <v>458.366236104659</v>
      </c>
      <c r="J4" s="11" t="n">
        <f aca="false">J$2 / RADIANS($A4)</f>
        <v>515.662015617741</v>
      </c>
      <c r="K4" s="11" t="n">
        <f aca="false">K$2 / RADIANS($A4)</f>
        <v>572.957795130823</v>
      </c>
      <c r="L4" s="11" t="n">
        <f aca="false">L$2 / RADIANS($A4)</f>
        <v>630.253574643906</v>
      </c>
      <c r="M4" s="11" t="n">
        <f aca="false">M$2 / RADIANS($A4)</f>
        <v>687.549354156988</v>
      </c>
      <c r="N4" s="11" t="n">
        <f aca="false">N$2 / RADIANS($A4)</f>
        <v>744.84513367007</v>
      </c>
      <c r="O4" s="11" t="n">
        <f aca="false">O$2 / RADIANS($A4)</f>
        <v>802.140913183153</v>
      </c>
      <c r="P4" s="11" t="n">
        <f aca="false">P$2 / RADIANS($A4)</f>
        <v>859.436692696235</v>
      </c>
      <c r="Q4" s="11" t="n">
        <f aca="false">Q$2 / RADIANS($A4)</f>
        <v>916.732472209317</v>
      </c>
      <c r="R4" s="11" t="n">
        <f aca="false">R$2 / RADIANS($A4)</f>
        <v>974.0282517224</v>
      </c>
      <c r="S4" s="11" t="n">
        <f aca="false">S$2 / RADIANS($A4)</f>
        <v>1031.32403123548</v>
      </c>
      <c r="T4" s="11" t="n">
        <f aca="false">T$2 / RADIANS($A4)</f>
        <v>1088.61981074856</v>
      </c>
      <c r="U4" s="11" t="n">
        <f aca="false">U$2 / RADIANS($A4)</f>
        <v>1145.91559026165</v>
      </c>
    </row>
    <row r="5" customFormat="false" ht="15.75" hidden="false" customHeight="false" outlineLevel="0" collapsed="false">
      <c r="A5" s="2" t="n">
        <f aca="false">(ROW()-2)*0.05</f>
        <v>0.15</v>
      </c>
      <c r="B5" s="11" t="n">
        <f aca="false">B$2 / RADIANS($A5)</f>
        <v>38.1971863420549</v>
      </c>
      <c r="C5" s="11" t="n">
        <f aca="false">C$2 / RADIANS($A5)</f>
        <v>76.3943726841098</v>
      </c>
      <c r="D5" s="13" t="n">
        <f aca="false">D$2 / RADIANS($A5)</f>
        <v>114.591559026165</v>
      </c>
      <c r="E5" s="11" t="n">
        <f aca="false">E$2 / RADIANS($A5)</f>
        <v>152.78874536822</v>
      </c>
      <c r="F5" s="11" t="n">
        <f aca="false">F$2 / RADIANS($A5)</f>
        <v>190.985931710274</v>
      </c>
      <c r="G5" s="11" t="n">
        <f aca="false">G$2 / RADIANS($A5)</f>
        <v>229.183118052329</v>
      </c>
      <c r="H5" s="11" t="n">
        <f aca="false">H$2 / RADIANS($A5)</f>
        <v>267.380304394384</v>
      </c>
      <c r="I5" s="11" t="n">
        <f aca="false">I$2 / RADIANS($A5)</f>
        <v>305.577490736439</v>
      </c>
      <c r="J5" s="11" t="n">
        <f aca="false">J$2 / RADIANS($A5)</f>
        <v>343.774677078494</v>
      </c>
      <c r="K5" s="11" t="n">
        <f aca="false">K$2 / RADIANS($A5)</f>
        <v>381.971863420549</v>
      </c>
      <c r="L5" s="11" t="n">
        <f aca="false">L$2 / RADIANS($A5)</f>
        <v>420.169049762604</v>
      </c>
      <c r="M5" s="11" t="n">
        <f aca="false">M$2 / RADIANS($A5)</f>
        <v>458.366236104659</v>
      </c>
      <c r="N5" s="11" t="n">
        <f aca="false">N$2 / RADIANS($A5)</f>
        <v>496.563422446713</v>
      </c>
      <c r="O5" s="11" t="n">
        <f aca="false">O$2 / RADIANS($A5)</f>
        <v>534.760608788768</v>
      </c>
      <c r="P5" s="11" t="n">
        <f aca="false">P$2 / RADIANS($A5)</f>
        <v>572.957795130823</v>
      </c>
      <c r="Q5" s="11" t="n">
        <f aca="false">Q$2 / RADIANS($A5)</f>
        <v>611.154981472878</v>
      </c>
      <c r="R5" s="11" t="n">
        <f aca="false">R$2 / RADIANS($A5)</f>
        <v>649.352167814933</v>
      </c>
      <c r="S5" s="11" t="n">
        <f aca="false">S$2 / RADIANS($A5)</f>
        <v>687.549354156988</v>
      </c>
      <c r="T5" s="11" t="n">
        <f aca="false">T$2 / RADIANS($A5)</f>
        <v>725.746540499043</v>
      </c>
      <c r="U5" s="11" t="n">
        <f aca="false">U$2 / RADIANS($A5)</f>
        <v>763.943726841098</v>
      </c>
    </row>
    <row r="6" customFormat="false" ht="15.75" hidden="false" customHeight="false" outlineLevel="0" collapsed="false">
      <c r="A6" s="2" t="n">
        <f aca="false">(ROW()-2)*0.05</f>
        <v>0.2</v>
      </c>
      <c r="B6" s="11" t="n">
        <f aca="false">B$2 / RADIANS($A6)</f>
        <v>28.6478897565412</v>
      </c>
      <c r="C6" s="11" t="n">
        <f aca="false">C$2 / RADIANS($A6)</f>
        <v>57.2957795130823</v>
      </c>
      <c r="D6" s="11" t="n">
        <f aca="false">D$2 / RADIANS($A6)</f>
        <v>85.9436692696235</v>
      </c>
      <c r="E6" s="11" t="n">
        <f aca="false">E$2 / RADIANS($A6)</f>
        <v>114.591559026165</v>
      </c>
      <c r="F6" s="11" t="n">
        <f aca="false">F$2 / RADIANS($A6)</f>
        <v>143.239448782706</v>
      </c>
      <c r="G6" s="11" t="n">
        <f aca="false">G$2 / RADIANS($A6)</f>
        <v>171.887338539247</v>
      </c>
      <c r="H6" s="11" t="n">
        <f aca="false">H$2 / RADIANS($A6)</f>
        <v>200.535228295788</v>
      </c>
      <c r="I6" s="11" t="n">
        <f aca="false">I$2 / RADIANS($A6)</f>
        <v>229.183118052329</v>
      </c>
      <c r="J6" s="11" t="n">
        <f aca="false">J$2 / RADIANS($A6)</f>
        <v>257.83100780887</v>
      </c>
      <c r="K6" s="11" t="n">
        <f aca="false">K$2 / RADIANS($A6)</f>
        <v>286.478897565412</v>
      </c>
      <c r="L6" s="11" t="n">
        <f aca="false">L$2 / RADIANS($A6)</f>
        <v>315.126787321953</v>
      </c>
      <c r="M6" s="11" t="n">
        <f aca="false">M$2 / RADIANS($A6)</f>
        <v>343.774677078494</v>
      </c>
      <c r="N6" s="11" t="n">
        <f aca="false">N$2 / RADIANS($A6)</f>
        <v>372.422566835035</v>
      </c>
      <c r="O6" s="11" t="n">
        <f aca="false">O$2 / RADIANS($A6)</f>
        <v>401.070456591576</v>
      </c>
      <c r="P6" s="11" t="n">
        <f aca="false">P$2 / RADIANS($A6)</f>
        <v>429.718346348117</v>
      </c>
      <c r="Q6" s="11" t="n">
        <f aca="false">Q$2 / RADIANS($A6)</f>
        <v>458.366236104659</v>
      </c>
      <c r="R6" s="11" t="n">
        <f aca="false">R$2 / RADIANS($A6)</f>
        <v>487.0141258612</v>
      </c>
      <c r="S6" s="11" t="n">
        <f aca="false">S$2 / RADIANS($A6)</f>
        <v>515.662015617741</v>
      </c>
      <c r="T6" s="11" t="n">
        <f aca="false">T$2 / RADIANS($A6)</f>
        <v>544.309905374282</v>
      </c>
      <c r="U6" s="11" t="n">
        <f aca="false">U$2 / RADIANS($A6)</f>
        <v>572.957795130823</v>
      </c>
    </row>
    <row r="7" customFormat="false" ht="15.75" hidden="false" customHeight="false" outlineLevel="0" collapsed="false">
      <c r="A7" s="2" t="n">
        <f aca="false">(ROW()-2)*0.05</f>
        <v>0.25</v>
      </c>
      <c r="B7" s="11" t="n">
        <f aca="false">B$2 / RADIANS($A7)</f>
        <v>22.9183118052329</v>
      </c>
      <c r="C7" s="11" t="n">
        <f aca="false">C$2 / RADIANS($A7)</f>
        <v>45.8366236104659</v>
      </c>
      <c r="D7" s="11" t="n">
        <f aca="false">D$2 / RADIANS($A7)</f>
        <v>68.7549354156988</v>
      </c>
      <c r="E7" s="11" t="n">
        <f aca="false">E$2 / RADIANS($A7)</f>
        <v>91.6732472209317</v>
      </c>
      <c r="F7" s="11" t="n">
        <f aca="false">F$2 / RADIANS($A7)</f>
        <v>114.591559026165</v>
      </c>
      <c r="G7" s="11" t="n">
        <f aca="false">G$2 / RADIANS($A7)</f>
        <v>137.509870831398</v>
      </c>
      <c r="H7" s="11" t="n">
        <f aca="false">H$2 / RADIANS($A7)</f>
        <v>160.428182636631</v>
      </c>
      <c r="I7" s="11" t="n">
        <f aca="false">I$2 / RADIANS($A7)</f>
        <v>183.346494441863</v>
      </c>
      <c r="J7" s="11" t="n">
        <f aca="false">J$2 / RADIANS($A7)</f>
        <v>206.264806247096</v>
      </c>
      <c r="K7" s="11" t="n">
        <f aca="false">K$2 / RADIANS($A7)</f>
        <v>229.183118052329</v>
      </c>
      <c r="L7" s="11" t="n">
        <f aca="false">L$2 / RADIANS($A7)</f>
        <v>252.101429857562</v>
      </c>
      <c r="M7" s="11" t="n">
        <f aca="false">M$2 / RADIANS($A7)</f>
        <v>275.019741662795</v>
      </c>
      <c r="N7" s="11" t="n">
        <f aca="false">N$2 / RADIANS($A7)</f>
        <v>297.938053468028</v>
      </c>
      <c r="O7" s="11" t="n">
        <f aca="false">O$2 / RADIANS($A7)</f>
        <v>320.856365273261</v>
      </c>
      <c r="P7" s="11" t="n">
        <f aca="false">P$2 / RADIANS($A7)</f>
        <v>343.774677078494</v>
      </c>
      <c r="Q7" s="11" t="n">
        <f aca="false">Q$2 / RADIANS($A7)</f>
        <v>366.692988883727</v>
      </c>
      <c r="R7" s="11" t="n">
        <f aca="false">R$2 / RADIANS($A7)</f>
        <v>389.61130068896</v>
      </c>
      <c r="S7" s="11" t="n">
        <f aca="false">S$2 / RADIANS($A7)</f>
        <v>412.529612494193</v>
      </c>
      <c r="T7" s="11" t="n">
        <f aca="false">T$2 / RADIANS($A7)</f>
        <v>435.447924299426</v>
      </c>
      <c r="U7" s="11" t="n">
        <f aca="false">U$2 / RADIANS($A7)</f>
        <v>458.366236104659</v>
      </c>
    </row>
    <row r="8" customFormat="false" ht="15.75" hidden="false" customHeight="false" outlineLevel="0" collapsed="false">
      <c r="A8" s="2" t="n">
        <f aca="false">(ROW()-2)*0.05</f>
        <v>0.3</v>
      </c>
      <c r="B8" s="11" t="n">
        <f aca="false">B$2 / RADIANS($A8)</f>
        <v>19.0985931710274</v>
      </c>
      <c r="C8" s="11" t="n">
        <f aca="false">C$2 / RADIANS($A8)</f>
        <v>38.1971863420549</v>
      </c>
      <c r="D8" s="11" t="n">
        <f aca="false">D$2 / RADIANS($A8)</f>
        <v>57.2957795130823</v>
      </c>
      <c r="E8" s="11" t="n">
        <f aca="false">E$2 / RADIANS($A8)</f>
        <v>76.3943726841098</v>
      </c>
      <c r="F8" s="11" t="n">
        <f aca="false">F$2 / RADIANS($A8)</f>
        <v>95.4929658551372</v>
      </c>
      <c r="G8" s="11" t="n">
        <f aca="false">G$2 / RADIANS($A8)</f>
        <v>114.591559026165</v>
      </c>
      <c r="H8" s="11" t="n">
        <f aca="false">H$2 / RADIANS($A8)</f>
        <v>133.690152197192</v>
      </c>
      <c r="I8" s="11" t="n">
        <f aca="false">I$2 / RADIANS($A8)</f>
        <v>152.78874536822</v>
      </c>
      <c r="J8" s="11" t="n">
        <f aca="false">J$2 / RADIANS($A8)</f>
        <v>171.887338539247</v>
      </c>
      <c r="K8" s="11" t="n">
        <f aca="false">K$2 / RADIANS($A8)</f>
        <v>190.985931710274</v>
      </c>
      <c r="L8" s="11" t="n">
        <f aca="false">L$2 / RADIANS($A8)</f>
        <v>210.084524881302</v>
      </c>
      <c r="M8" s="11" t="n">
        <f aca="false">M$2 / RADIANS($A8)</f>
        <v>229.183118052329</v>
      </c>
      <c r="N8" s="11" t="n">
        <f aca="false">N$2 / RADIANS($A8)</f>
        <v>248.281711223357</v>
      </c>
      <c r="O8" s="11" t="n">
        <f aca="false">O$2 / RADIANS($A8)</f>
        <v>267.380304394384</v>
      </c>
      <c r="P8" s="11" t="n">
        <f aca="false">P$2 / RADIANS($A8)</f>
        <v>286.478897565412</v>
      </c>
      <c r="Q8" s="11" t="n">
        <f aca="false">Q$2 / RADIANS($A8)</f>
        <v>305.577490736439</v>
      </c>
      <c r="R8" s="11" t="n">
        <f aca="false">R$2 / RADIANS($A8)</f>
        <v>324.676083907467</v>
      </c>
      <c r="S8" s="11" t="n">
        <f aca="false">S$2 / RADIANS($A8)</f>
        <v>343.774677078494</v>
      </c>
      <c r="T8" s="11" t="n">
        <f aca="false">T$2 / RADIANS($A8)</f>
        <v>362.873270249521</v>
      </c>
      <c r="U8" s="11" t="n">
        <f aca="false">U$2 / RADIANS($A8)</f>
        <v>381.971863420549</v>
      </c>
    </row>
    <row r="9" customFormat="false" ht="15.75" hidden="false" customHeight="false" outlineLevel="0" collapsed="false">
      <c r="A9" s="2" t="n">
        <f aca="false">(ROW()-2)*0.05</f>
        <v>0.35</v>
      </c>
      <c r="B9" s="11" t="n">
        <f aca="false">B$2 / RADIANS($A9)</f>
        <v>16.3702227180235</v>
      </c>
      <c r="C9" s="11" t="n">
        <f aca="false">C$2 / RADIANS($A9)</f>
        <v>32.740445436047</v>
      </c>
      <c r="D9" s="11" t="n">
        <f aca="false">D$2 / RADIANS($A9)</f>
        <v>49.1106681540706</v>
      </c>
      <c r="E9" s="11" t="n">
        <f aca="false">E$2 / RADIANS($A9)</f>
        <v>65.4808908720941</v>
      </c>
      <c r="F9" s="11" t="n">
        <f aca="false">F$2 / RADIANS($A9)</f>
        <v>81.8511135901176</v>
      </c>
      <c r="G9" s="11" t="n">
        <f aca="false">G$2 / RADIANS($A9)</f>
        <v>98.2213363081411</v>
      </c>
      <c r="H9" s="11" t="n">
        <f aca="false">H$2 / RADIANS($A9)</f>
        <v>114.591559026165</v>
      </c>
      <c r="I9" s="11" t="n">
        <f aca="false">I$2 / RADIANS($A9)</f>
        <v>130.961781744188</v>
      </c>
      <c r="J9" s="11" t="n">
        <f aca="false">J$2 / RADIANS($A9)</f>
        <v>147.332004462212</v>
      </c>
      <c r="K9" s="11" t="n">
        <f aca="false">K$2 / RADIANS($A9)</f>
        <v>163.702227180235</v>
      </c>
      <c r="L9" s="11" t="n">
        <f aca="false">L$2 / RADIANS($A9)</f>
        <v>180.072449898259</v>
      </c>
      <c r="M9" s="11" t="n">
        <f aca="false">M$2 / RADIANS($A9)</f>
        <v>196.442672616282</v>
      </c>
      <c r="N9" s="11" t="n">
        <f aca="false">N$2 / RADIANS($A9)</f>
        <v>212.812895334306</v>
      </c>
      <c r="O9" s="11" t="n">
        <f aca="false">O$2 / RADIANS($A9)</f>
        <v>229.183118052329</v>
      </c>
      <c r="P9" s="11" t="n">
        <f aca="false">P$2 / RADIANS($A9)</f>
        <v>245.553340770353</v>
      </c>
      <c r="Q9" s="11" t="n">
        <f aca="false">Q$2 / RADIANS($A9)</f>
        <v>261.923563488376</v>
      </c>
      <c r="R9" s="11" t="n">
        <f aca="false">R$2 / RADIANS($A9)</f>
        <v>278.2937862064</v>
      </c>
      <c r="S9" s="11" t="n">
        <f aca="false">S$2 / RADIANS($A9)</f>
        <v>294.664008924423</v>
      </c>
      <c r="T9" s="11" t="n">
        <f aca="false">T$2 / RADIANS($A9)</f>
        <v>311.034231642447</v>
      </c>
      <c r="U9" s="11" t="n">
        <f aca="false">U$2 / RADIANS($A9)</f>
        <v>327.40445436047</v>
      </c>
    </row>
    <row r="10" customFormat="false" ht="15.75" hidden="false" customHeight="false" outlineLevel="0" collapsed="false">
      <c r="A10" s="2" t="n">
        <f aca="false">(ROW()-2)*0.05</f>
        <v>0.4</v>
      </c>
      <c r="B10" s="11" t="n">
        <f aca="false">B$2 / RADIANS($A10)</f>
        <v>14.3239448782706</v>
      </c>
      <c r="C10" s="11" t="n">
        <f aca="false">C$2 / RADIANS($A10)</f>
        <v>28.6478897565412</v>
      </c>
      <c r="D10" s="11" t="n">
        <f aca="false">D$2 / RADIANS($A10)</f>
        <v>42.9718346348118</v>
      </c>
      <c r="E10" s="11" t="n">
        <f aca="false">E$2 / RADIANS($A10)</f>
        <v>57.2957795130823</v>
      </c>
      <c r="F10" s="11" t="n">
        <f aca="false">F$2 / RADIANS($A10)</f>
        <v>71.6197243913529</v>
      </c>
      <c r="G10" s="11" t="n">
        <f aca="false">G$2 / RADIANS($A10)</f>
        <v>85.9436692696235</v>
      </c>
      <c r="H10" s="11" t="n">
        <f aca="false">H$2 / RADIANS($A10)</f>
        <v>100.267614147894</v>
      </c>
      <c r="I10" s="11" t="n">
        <f aca="false">I$2 / RADIANS($A10)</f>
        <v>114.591559026165</v>
      </c>
      <c r="J10" s="11" t="n">
        <f aca="false">J$2 / RADIANS($A10)</f>
        <v>128.915503904435</v>
      </c>
      <c r="K10" s="11" t="n">
        <f aca="false">K$2 / RADIANS($A10)</f>
        <v>143.239448782706</v>
      </c>
      <c r="L10" s="11" t="n">
        <f aca="false">L$2 / RADIANS($A10)</f>
        <v>157.563393660976</v>
      </c>
      <c r="M10" s="11" t="n">
        <f aca="false">M$2 / RADIANS($A10)</f>
        <v>171.887338539247</v>
      </c>
      <c r="N10" s="11" t="n">
        <f aca="false">N$2 / RADIANS($A10)</f>
        <v>186.211283417518</v>
      </c>
      <c r="O10" s="11" t="n">
        <f aca="false">O$2 / RADIANS($A10)</f>
        <v>200.535228295788</v>
      </c>
      <c r="P10" s="11" t="n">
        <f aca="false">P$2 / RADIANS($A10)</f>
        <v>214.859173174059</v>
      </c>
      <c r="Q10" s="11" t="n">
        <f aca="false">Q$2 / RADIANS($A10)</f>
        <v>229.183118052329</v>
      </c>
      <c r="R10" s="11" t="n">
        <f aca="false">R$2 / RADIANS($A10)</f>
        <v>243.5070629306</v>
      </c>
      <c r="S10" s="11" t="n">
        <f aca="false">S$2 / RADIANS($A10)</f>
        <v>257.83100780887</v>
      </c>
      <c r="T10" s="11" t="n">
        <f aca="false">T$2 / RADIANS($A10)</f>
        <v>272.154952687141</v>
      </c>
      <c r="U10" s="11" t="n">
        <f aca="false">U$2 / RADIANS($A10)</f>
        <v>286.478897565412</v>
      </c>
    </row>
    <row r="11" customFormat="false" ht="15.75" hidden="false" customHeight="false" outlineLevel="0" collapsed="false">
      <c r="A11" s="2" t="n">
        <f aca="false">(ROW()-2)*0.05</f>
        <v>0.45</v>
      </c>
      <c r="B11" s="11" t="n">
        <f aca="false">B$2 / RADIANS($A11)</f>
        <v>12.7323954473516</v>
      </c>
      <c r="C11" s="11" t="n">
        <f aca="false">C$2 / RADIANS($A11)</f>
        <v>25.4647908947033</v>
      </c>
      <c r="D11" s="11" t="n">
        <f aca="false">D$2 / RADIANS($A11)</f>
        <v>38.1971863420549</v>
      </c>
      <c r="E11" s="11" t="n">
        <f aca="false">E$2 / RADIANS($A11)</f>
        <v>50.9295817894065</v>
      </c>
      <c r="F11" s="11" t="n">
        <f aca="false">F$2 / RADIANS($A11)</f>
        <v>63.6619772367581</v>
      </c>
      <c r="G11" s="14" t="n">
        <f aca="false">G$2 / RADIANS($A11)</f>
        <v>76.3943726841098</v>
      </c>
      <c r="H11" s="11" t="n">
        <f aca="false">H$2 / RADIANS($A11)</f>
        <v>89.1267681314614</v>
      </c>
      <c r="I11" s="11" t="n">
        <f aca="false">I$2 / RADIANS($A11)</f>
        <v>101.859163578813</v>
      </c>
      <c r="J11" s="11" t="n">
        <f aca="false">J$2 / RADIANS($A11)</f>
        <v>114.591559026165</v>
      </c>
      <c r="K11" s="14" t="n">
        <f aca="false">K$2 / RADIANS($A11)</f>
        <v>127.323954473516</v>
      </c>
      <c r="L11" s="11" t="n">
        <f aca="false">L$2 / RADIANS($A11)</f>
        <v>140.056349920868</v>
      </c>
      <c r="M11" s="11" t="n">
        <f aca="false">M$2 / RADIANS($A11)</f>
        <v>152.78874536822</v>
      </c>
      <c r="N11" s="11" t="n">
        <f aca="false">N$2 / RADIANS($A11)</f>
        <v>165.521140815571</v>
      </c>
      <c r="O11" s="11" t="n">
        <f aca="false">O$2 / RADIANS($A11)</f>
        <v>178.253536262923</v>
      </c>
      <c r="P11" s="11" t="n">
        <f aca="false">P$2 / RADIANS($A11)</f>
        <v>190.985931710274</v>
      </c>
      <c r="Q11" s="11" t="n">
        <f aca="false">Q$2 / RADIANS($A11)</f>
        <v>203.718327157626</v>
      </c>
      <c r="R11" s="11" t="n">
        <f aca="false">R$2 / RADIANS($A11)</f>
        <v>216.450722604978</v>
      </c>
      <c r="S11" s="11" t="n">
        <f aca="false">S$2 / RADIANS($A11)</f>
        <v>229.183118052329</v>
      </c>
      <c r="T11" s="11" t="n">
        <f aca="false">T$2 / RADIANS($A11)</f>
        <v>241.915513499681</v>
      </c>
      <c r="U11" s="11" t="n">
        <f aca="false">U$2 / RADIANS($A11)</f>
        <v>254.647908947033</v>
      </c>
    </row>
    <row r="12" customFormat="false" ht="15.75" hidden="false" customHeight="false" outlineLevel="0" collapsed="false">
      <c r="A12" s="2" t="n">
        <f aca="false">(ROW()-2)*0.05</f>
        <v>0.5</v>
      </c>
      <c r="B12" s="11" t="n">
        <f aca="false">B$2 / RADIANS($A12)</f>
        <v>11.4591559026165</v>
      </c>
      <c r="C12" s="11" t="n">
        <f aca="false">C$2 / RADIANS($A12)</f>
        <v>22.9183118052329</v>
      </c>
      <c r="D12" s="11" t="n">
        <f aca="false">D$2 / RADIANS($A12)</f>
        <v>34.3774677078494</v>
      </c>
      <c r="E12" s="15" t="n">
        <f aca="false">E$2 / RADIANS($A12)</f>
        <v>45.8366236104659</v>
      </c>
      <c r="F12" s="11" t="n">
        <f aca="false">F$2 / RADIANS($A12)</f>
        <v>57.2957795130823</v>
      </c>
      <c r="G12" s="11" t="n">
        <f aca="false">G$2 / RADIANS($A12)</f>
        <v>68.7549354156988</v>
      </c>
      <c r="H12" s="11" t="n">
        <f aca="false">H$2 / RADIANS($A12)</f>
        <v>80.2140913183153</v>
      </c>
      <c r="I12" s="14" t="n">
        <f aca="false">I$2 / RADIANS($A12)</f>
        <v>91.6732472209317</v>
      </c>
      <c r="J12" s="11" t="n">
        <f aca="false">J$2 / RADIANS($A12)</f>
        <v>103.132403123548</v>
      </c>
      <c r="K12" s="11" t="n">
        <f aca="false">K$2 / RADIANS($A12)</f>
        <v>114.591559026165</v>
      </c>
      <c r="L12" s="11" t="n">
        <f aca="false">L$2 / RADIANS($A12)</f>
        <v>126.050714928781</v>
      </c>
      <c r="M12" s="11" t="n">
        <f aca="false">M$2 / RADIANS($A12)</f>
        <v>137.509870831398</v>
      </c>
      <c r="N12" s="11" t="n">
        <f aca="false">N$2 / RADIANS($A12)</f>
        <v>148.969026734014</v>
      </c>
      <c r="O12" s="11" t="n">
        <f aca="false">O$2 / RADIANS($A12)</f>
        <v>160.428182636631</v>
      </c>
      <c r="P12" s="11" t="n">
        <f aca="false">P$2 / RADIANS($A12)</f>
        <v>171.887338539247</v>
      </c>
      <c r="Q12" s="11" t="n">
        <f aca="false">Q$2 / RADIANS($A12)</f>
        <v>183.346494441863</v>
      </c>
      <c r="R12" s="11" t="n">
        <f aca="false">R$2 / RADIANS($A12)</f>
        <v>194.80565034448</v>
      </c>
      <c r="S12" s="11" t="n">
        <f aca="false">S$2 / RADIANS($A12)</f>
        <v>206.264806247096</v>
      </c>
      <c r="T12" s="11" t="n">
        <f aca="false">T$2 / RADIANS($A12)</f>
        <v>217.723962149713</v>
      </c>
      <c r="U12" s="11" t="n">
        <f aca="false">U$2 / RADIANS($A12)</f>
        <v>229.183118052329</v>
      </c>
    </row>
    <row r="13" customFormat="false" ht="15.75" hidden="false" customHeight="false" outlineLevel="0" collapsed="false">
      <c r="A13" s="2" t="n">
        <f aca="false">(ROW()-2)*0.05</f>
        <v>0.55</v>
      </c>
      <c r="B13" s="11" t="n">
        <f aca="false">B$2 / RADIANS($A13)</f>
        <v>10.4174144569241</v>
      </c>
      <c r="C13" s="11" t="n">
        <f aca="false">C$2 / RADIANS($A13)</f>
        <v>20.8348289138481</v>
      </c>
      <c r="D13" s="11" t="n">
        <f aca="false">D$2 / RADIANS($A13)</f>
        <v>31.2522433707722</v>
      </c>
      <c r="E13" s="16" t="n">
        <f aca="false">E$2 / RADIANS($A13)</f>
        <v>41.6696578276962</v>
      </c>
      <c r="F13" s="13" t="n">
        <f aca="false">F$2 / RADIANS($A13)</f>
        <v>52.0870722846203</v>
      </c>
      <c r="G13" s="11" t="n">
        <f aca="false">G$2 / RADIANS($A13)</f>
        <v>62.5044867415444</v>
      </c>
      <c r="H13" s="11" t="n">
        <f aca="false">H$2 / RADIANS($A13)</f>
        <v>72.9219011984684</v>
      </c>
      <c r="I13" s="11" t="n">
        <f aca="false">I$2 / RADIANS($A13)</f>
        <v>83.3393156553925</v>
      </c>
      <c r="J13" s="11" t="n">
        <f aca="false">J$2 / RADIANS($A13)</f>
        <v>93.7567301123165</v>
      </c>
      <c r="K13" s="11" t="n">
        <f aca="false">K$2 / RADIANS($A13)</f>
        <v>104.174144569241</v>
      </c>
      <c r="L13" s="11" t="n">
        <f aca="false">L$2 / RADIANS($A13)</f>
        <v>114.591559026165</v>
      </c>
      <c r="M13" s="11" t="n">
        <f aca="false">M$2 / RADIANS($A13)</f>
        <v>125.008973483089</v>
      </c>
      <c r="N13" s="11" t="n">
        <f aca="false">N$2 / RADIANS($A13)</f>
        <v>135.426387940013</v>
      </c>
      <c r="O13" s="11" t="n">
        <f aca="false">O$2 / RADIANS($A13)</f>
        <v>145.843802396937</v>
      </c>
      <c r="P13" s="11" t="n">
        <f aca="false">P$2 / RADIANS($A13)</f>
        <v>156.261216853861</v>
      </c>
      <c r="Q13" s="11" t="n">
        <f aca="false">Q$2 / RADIANS($A13)</f>
        <v>166.678631310785</v>
      </c>
      <c r="R13" s="11" t="n">
        <f aca="false">R$2 / RADIANS($A13)</f>
        <v>177.096045767709</v>
      </c>
      <c r="S13" s="11" t="n">
        <f aca="false">S$2 / RADIANS($A13)</f>
        <v>187.513460224633</v>
      </c>
      <c r="T13" s="11" t="n">
        <f aca="false">T$2 / RADIANS($A13)</f>
        <v>197.930874681557</v>
      </c>
      <c r="U13" s="11" t="n">
        <f aca="false">U$2 / RADIANS($A13)</f>
        <v>208.348289138481</v>
      </c>
    </row>
    <row r="14" customFormat="false" ht="15.75" hidden="false" customHeight="false" outlineLevel="0" collapsed="false">
      <c r="A14" s="2" t="n">
        <f aca="false">(ROW()-2)*0.05</f>
        <v>0.6</v>
      </c>
      <c r="B14" s="11" t="n">
        <f aca="false">B$2 / RADIANS($A14)</f>
        <v>9.54929658551372</v>
      </c>
      <c r="C14" s="11" t="n">
        <f aca="false">C$2 / RADIANS($A14)</f>
        <v>19.0985931710274</v>
      </c>
      <c r="D14" s="11" t="n">
        <f aca="false">D$2 / RADIANS($A14)</f>
        <v>28.6478897565412</v>
      </c>
      <c r="E14" s="11" t="n">
        <f aca="false">E$2 / RADIANS($A14)</f>
        <v>38.1971863420549</v>
      </c>
      <c r="F14" s="11" t="n">
        <f aca="false">F$2 / RADIANS($A14)</f>
        <v>47.7464829275686</v>
      </c>
      <c r="G14" s="11" t="n">
        <f aca="false">G$2 / RADIANS($A14)</f>
        <v>57.2957795130823</v>
      </c>
      <c r="H14" s="11" t="n">
        <f aca="false">H$2 / RADIANS($A14)</f>
        <v>66.845076098596</v>
      </c>
      <c r="I14" s="11" t="n">
        <f aca="false">I$2 / RADIANS($A14)</f>
        <v>76.3943726841098</v>
      </c>
      <c r="J14" s="11" t="n">
        <f aca="false">J$2 / RADIANS($A14)</f>
        <v>85.9436692696235</v>
      </c>
      <c r="K14" s="11" t="n">
        <f aca="false">K$2 / RADIANS($A14)</f>
        <v>95.4929658551372</v>
      </c>
      <c r="L14" s="11" t="n">
        <f aca="false">L$2 / RADIANS($A14)</f>
        <v>105.042262440651</v>
      </c>
      <c r="M14" s="11" t="n">
        <f aca="false">M$2 / RADIANS($A14)</f>
        <v>114.591559026165</v>
      </c>
      <c r="N14" s="11" t="n">
        <f aca="false">N$2 / RADIANS($A14)</f>
        <v>124.140855611678</v>
      </c>
      <c r="O14" s="11" t="n">
        <f aca="false">O$2 / RADIANS($A14)</f>
        <v>133.690152197192</v>
      </c>
      <c r="P14" s="11" t="n">
        <f aca="false">P$2 / RADIANS($A14)</f>
        <v>143.239448782706</v>
      </c>
      <c r="Q14" s="11" t="n">
        <f aca="false">Q$2 / RADIANS($A14)</f>
        <v>152.78874536822</v>
      </c>
      <c r="R14" s="11" t="n">
        <f aca="false">R$2 / RADIANS($A14)</f>
        <v>162.338041953733</v>
      </c>
      <c r="S14" s="11" t="n">
        <f aca="false">S$2 / RADIANS($A14)</f>
        <v>171.887338539247</v>
      </c>
      <c r="T14" s="11" t="n">
        <f aca="false">T$2 / RADIANS($A14)</f>
        <v>181.436635124761</v>
      </c>
      <c r="U14" s="11" t="n">
        <f aca="false">U$2 / RADIANS($A14)</f>
        <v>190.985931710274</v>
      </c>
    </row>
    <row r="15" customFormat="false" ht="15.75" hidden="false" customHeight="false" outlineLevel="0" collapsed="false">
      <c r="A15" s="2" t="n">
        <f aca="false">(ROW()-2)*0.05</f>
        <v>0.65</v>
      </c>
      <c r="B15" s="11" t="n">
        <f aca="false">B$2 / RADIANS($A15)</f>
        <v>8.81473530970497</v>
      </c>
      <c r="C15" s="11" t="n">
        <f aca="false">C$2 / RADIANS($A15)</f>
        <v>17.6294706194099</v>
      </c>
      <c r="D15" s="11" t="n">
        <f aca="false">D$2 / RADIANS($A15)</f>
        <v>26.4442059291149</v>
      </c>
      <c r="E15" s="11" t="n">
        <f aca="false">E$2 / RADIANS($A15)</f>
        <v>35.2589412388199</v>
      </c>
      <c r="F15" s="11" t="n">
        <f aca="false">F$2 / RADIANS($A15)</f>
        <v>44.0736765485249</v>
      </c>
      <c r="G15" s="12" t="n">
        <f aca="false">G$2 / RADIANS($A15)</f>
        <v>52.8884118582298</v>
      </c>
      <c r="H15" s="11" t="n">
        <f aca="false">H$2 / RADIANS($A15)</f>
        <v>61.7031471679348</v>
      </c>
      <c r="I15" s="11" t="n">
        <f aca="false">I$2 / RADIANS($A15)</f>
        <v>70.5178824776398</v>
      </c>
      <c r="J15" s="11" t="n">
        <f aca="false">J$2 / RADIANS($A15)</f>
        <v>79.3326177873448</v>
      </c>
      <c r="K15" s="11" t="n">
        <f aca="false">K$2 / RADIANS($A15)</f>
        <v>88.1473530970497</v>
      </c>
      <c r="L15" s="11" t="n">
        <f aca="false">L$2 / RADIANS($A15)</f>
        <v>96.9620884067547</v>
      </c>
      <c r="M15" s="11" t="n">
        <f aca="false">M$2 / RADIANS($A15)</f>
        <v>105.77682371646</v>
      </c>
      <c r="N15" s="11" t="n">
        <f aca="false">N$2 / RADIANS($A15)</f>
        <v>114.591559026165</v>
      </c>
      <c r="O15" s="11" t="n">
        <f aca="false">O$2 / RADIANS($A15)</f>
        <v>123.40629433587</v>
      </c>
      <c r="P15" s="11" t="n">
        <f aca="false">P$2 / RADIANS($A15)</f>
        <v>132.221029645575</v>
      </c>
      <c r="Q15" s="11" t="n">
        <f aca="false">Q$2 / RADIANS($A15)</f>
        <v>141.03576495528</v>
      </c>
      <c r="R15" s="11" t="n">
        <f aca="false">R$2 / RADIANS($A15)</f>
        <v>149.850500264985</v>
      </c>
      <c r="S15" s="11" t="n">
        <f aca="false">S$2 / RADIANS($A15)</f>
        <v>158.66523557469</v>
      </c>
      <c r="T15" s="11" t="n">
        <f aca="false">T$2 / RADIANS($A15)</f>
        <v>167.479970884394</v>
      </c>
      <c r="U15" s="11" t="n">
        <f aca="false">U$2 / RADIANS($A15)</f>
        <v>176.294706194099</v>
      </c>
    </row>
    <row r="16" customFormat="false" ht="15.75" hidden="false" customHeight="false" outlineLevel="0" collapsed="false">
      <c r="A16" s="2" t="n">
        <f aca="false">(ROW()-2)*0.05</f>
        <v>0.7</v>
      </c>
      <c r="B16" s="11" t="n">
        <f aca="false">B$2 / RADIANS($A16)</f>
        <v>8.18511135901176</v>
      </c>
      <c r="C16" s="11" t="n">
        <f aca="false">C$2 / RADIANS($A16)</f>
        <v>16.3702227180235</v>
      </c>
      <c r="D16" s="11" t="n">
        <f aca="false">D$2 / RADIANS($A16)</f>
        <v>24.5553340770353</v>
      </c>
      <c r="E16" s="11" t="n">
        <f aca="false">E$2 / RADIANS($A16)</f>
        <v>32.740445436047</v>
      </c>
      <c r="F16" s="17" t="n">
        <f aca="false">F$2 / RADIANS($A16)</f>
        <v>40.9255567950588</v>
      </c>
      <c r="G16" s="11" t="n">
        <f aca="false">G$2 / RADIANS($A16)</f>
        <v>49.1106681540706</v>
      </c>
      <c r="H16" s="11" t="n">
        <f aca="false">H$2 / RADIANS($A16)</f>
        <v>57.2957795130823</v>
      </c>
      <c r="I16" s="11" t="n">
        <f aca="false">I$2 / RADIANS($A16)</f>
        <v>65.4808908720941</v>
      </c>
      <c r="J16" s="11" t="n">
        <f aca="false">J$2 / RADIANS($A16)</f>
        <v>73.6660022311058</v>
      </c>
      <c r="K16" s="11" t="n">
        <f aca="false">K$2 / RADIANS($A16)</f>
        <v>81.8511135901176</v>
      </c>
      <c r="L16" s="11" t="n">
        <f aca="false">L$2 / RADIANS($A16)</f>
        <v>90.0362249491294</v>
      </c>
      <c r="M16" s="11" t="n">
        <f aca="false">M$2 / RADIANS($A16)</f>
        <v>98.2213363081411</v>
      </c>
      <c r="N16" s="11" t="n">
        <f aca="false">N$2 / RADIANS($A16)</f>
        <v>106.406447667153</v>
      </c>
      <c r="O16" s="11" t="n">
        <f aca="false">O$2 / RADIANS($A16)</f>
        <v>114.591559026165</v>
      </c>
      <c r="P16" s="11" t="n">
        <f aca="false">P$2 / RADIANS($A16)</f>
        <v>122.776670385176</v>
      </c>
      <c r="Q16" s="11" t="n">
        <f aca="false">Q$2 / RADIANS($A16)</f>
        <v>130.961781744188</v>
      </c>
      <c r="R16" s="11" t="n">
        <f aca="false">R$2 / RADIANS($A16)</f>
        <v>139.1468931032</v>
      </c>
      <c r="S16" s="11" t="n">
        <f aca="false">S$2 / RADIANS($A16)</f>
        <v>147.332004462212</v>
      </c>
      <c r="T16" s="11" t="n">
        <f aca="false">T$2 / RADIANS($A16)</f>
        <v>155.517115821223</v>
      </c>
      <c r="U16" s="11" t="n">
        <f aca="false">U$2 / RADIANS($A16)</f>
        <v>163.702227180235</v>
      </c>
    </row>
    <row r="17" customFormat="false" ht="15.75" hidden="false" customHeight="false" outlineLevel="0" collapsed="false">
      <c r="A17" s="2" t="n">
        <f aca="false">(ROW()-2)*0.05</f>
        <v>0.75</v>
      </c>
      <c r="B17" s="11" t="n">
        <f aca="false">B$2 / RADIANS($A17)</f>
        <v>7.63943726841098</v>
      </c>
      <c r="C17" s="11" t="n">
        <f aca="false">C$2 / RADIANS($A17)</f>
        <v>15.278874536822</v>
      </c>
      <c r="D17" s="11" t="n">
        <f aca="false">D$2 / RADIANS($A17)</f>
        <v>22.9183118052329</v>
      </c>
      <c r="E17" s="11" t="n">
        <f aca="false">E$2 / RADIANS($A17)</f>
        <v>30.5577490736439</v>
      </c>
      <c r="F17" s="11" t="n">
        <f aca="false">F$2 / RADIANS($A17)</f>
        <v>38.1971863420549</v>
      </c>
      <c r="G17" s="11" t="n">
        <f aca="false">G$2 / RADIANS($A17)</f>
        <v>45.8366236104659</v>
      </c>
      <c r="H17" s="11" t="n">
        <f aca="false">H$2 / RADIANS($A17)</f>
        <v>53.4760608788768</v>
      </c>
      <c r="I17" s="11" t="n">
        <f aca="false">I$2 / RADIANS($A17)</f>
        <v>61.1154981472878</v>
      </c>
      <c r="J17" s="11" t="n">
        <f aca="false">J$2 / RADIANS($A17)</f>
        <v>68.7549354156988</v>
      </c>
      <c r="K17" s="11" t="n">
        <f aca="false">K$2 / RADIANS($A17)</f>
        <v>76.3943726841098</v>
      </c>
      <c r="L17" s="11" t="n">
        <f aca="false">L$2 / RADIANS($A17)</f>
        <v>84.0338099525208</v>
      </c>
      <c r="M17" s="11" t="n">
        <f aca="false">M$2 / RADIANS($A17)</f>
        <v>91.6732472209317</v>
      </c>
      <c r="N17" s="11" t="n">
        <f aca="false">N$2 / RADIANS($A17)</f>
        <v>99.3126844893427</v>
      </c>
      <c r="O17" s="11" t="n">
        <f aca="false">O$2 / RADIANS($A17)</f>
        <v>106.952121757754</v>
      </c>
      <c r="P17" s="11" t="n">
        <f aca="false">P$2 / RADIANS($A17)</f>
        <v>114.591559026165</v>
      </c>
      <c r="Q17" s="11" t="n">
        <f aca="false">Q$2 / RADIANS($A17)</f>
        <v>122.230996294576</v>
      </c>
      <c r="R17" s="11" t="n">
        <f aca="false">R$2 / RADIANS($A17)</f>
        <v>129.870433562987</v>
      </c>
      <c r="S17" s="11" t="n">
        <f aca="false">S$2 / RADIANS($A17)</f>
        <v>137.509870831398</v>
      </c>
      <c r="T17" s="11" t="n">
        <f aca="false">T$2 / RADIANS($A17)</f>
        <v>145.149308099809</v>
      </c>
      <c r="U17" s="11" t="n">
        <f aca="false">U$2 / RADIANS($A17)</f>
        <v>152.78874536822</v>
      </c>
    </row>
    <row r="18" customFormat="false" ht="15.75" hidden="false" customHeight="false" outlineLevel="0" collapsed="false">
      <c r="A18" s="2" t="n">
        <f aca="false">(ROW()-2)*0.05</f>
        <v>0.8</v>
      </c>
      <c r="B18" s="11" t="n">
        <f aca="false">B$2 / RADIANS($A18)</f>
        <v>7.16197243913529</v>
      </c>
      <c r="C18" s="11" t="n">
        <f aca="false">C$2 / RADIANS($A18)</f>
        <v>14.3239448782706</v>
      </c>
      <c r="D18" s="11" t="n">
        <f aca="false">D$2 / RADIANS($A18)</f>
        <v>21.4859173174059</v>
      </c>
      <c r="E18" s="11" t="n">
        <f aca="false">E$2 / RADIANS($A18)</f>
        <v>28.6478897565412</v>
      </c>
      <c r="F18" s="11" t="n">
        <f aca="false">F$2 / RADIANS($A18)</f>
        <v>35.8098621956765</v>
      </c>
      <c r="G18" s="11" t="n">
        <f aca="false">G$2 / RADIANS($A18)</f>
        <v>42.9718346348118</v>
      </c>
      <c r="H18" s="11" t="n">
        <f aca="false">H$2 / RADIANS($A18)</f>
        <v>50.133807073947</v>
      </c>
      <c r="I18" s="12" t="n">
        <f aca="false">I$2 / RADIANS($A18)</f>
        <v>57.2957795130823</v>
      </c>
      <c r="J18" s="11" t="n">
        <f aca="false">J$2 / RADIANS($A18)</f>
        <v>64.4577519522176</v>
      </c>
      <c r="K18" s="11" t="n">
        <f aca="false">K$2 / RADIANS($A18)</f>
        <v>71.6197243913529</v>
      </c>
      <c r="L18" s="11" t="n">
        <f aca="false">L$2 / RADIANS($A18)</f>
        <v>78.7816968304882</v>
      </c>
      <c r="M18" s="11" t="n">
        <f aca="false">M$2 / RADIANS($A18)</f>
        <v>85.9436692696235</v>
      </c>
      <c r="N18" s="11" t="n">
        <f aca="false">N$2 / RADIANS($A18)</f>
        <v>93.1056417087588</v>
      </c>
      <c r="O18" s="11" t="n">
        <f aca="false">O$2 / RADIANS($A18)</f>
        <v>100.267614147894</v>
      </c>
      <c r="P18" s="11" t="n">
        <f aca="false">P$2 / RADIANS($A18)</f>
        <v>107.429586587029</v>
      </c>
      <c r="Q18" s="11" t="n">
        <f aca="false">Q$2 / RADIANS($A18)</f>
        <v>114.591559026165</v>
      </c>
      <c r="R18" s="11" t="n">
        <f aca="false">R$2 / RADIANS($A18)</f>
        <v>121.7535314653</v>
      </c>
      <c r="S18" s="11" t="n">
        <f aca="false">S$2 / RADIANS($A18)</f>
        <v>128.915503904435</v>
      </c>
      <c r="T18" s="11" t="n">
        <f aca="false">T$2 / RADIANS($A18)</f>
        <v>136.077476343571</v>
      </c>
      <c r="U18" s="11" t="n">
        <f aca="false">U$2 / RADIANS($A18)</f>
        <v>143.239448782706</v>
      </c>
    </row>
    <row r="19" customFormat="false" ht="15.75" hidden="false" customHeight="false" outlineLevel="0" collapsed="false">
      <c r="A19" s="2" t="n">
        <f aca="false">(ROW()-2)*0.05</f>
        <v>0.85</v>
      </c>
      <c r="B19" s="11" t="n">
        <f aca="false">B$2 / RADIANS($A19)</f>
        <v>6.74067994271557</v>
      </c>
      <c r="C19" s="11" t="n">
        <f aca="false">C$2 / RADIANS($A19)</f>
        <v>13.4813598854311</v>
      </c>
      <c r="D19" s="11" t="n">
        <f aca="false">D$2 / RADIANS($A19)</f>
        <v>20.2220398281467</v>
      </c>
      <c r="E19" s="11" t="n">
        <f aca="false">E$2 / RADIANS($A19)</f>
        <v>26.9627197708623</v>
      </c>
      <c r="F19" s="11" t="n">
        <f aca="false">F$2 / RADIANS($A19)</f>
        <v>33.7033997135778</v>
      </c>
      <c r="G19" s="11" t="n">
        <f aca="false">G$2 / RADIANS($A19)</f>
        <v>40.4440796562934</v>
      </c>
      <c r="H19" s="11" t="n">
        <f aca="false">H$2 / RADIANS($A19)</f>
        <v>47.184759599009</v>
      </c>
      <c r="I19" s="11" t="n">
        <f aca="false">I$2 / RADIANS($A19)</f>
        <v>53.9254395417245</v>
      </c>
      <c r="J19" s="11" t="n">
        <f aca="false">J$2 / RADIANS($A19)</f>
        <v>60.6661194844401</v>
      </c>
      <c r="K19" s="11" t="n">
        <f aca="false">K$2 / RADIANS($A19)</f>
        <v>67.4067994271557</v>
      </c>
      <c r="L19" s="11" t="n">
        <f aca="false">L$2 / RADIANS($A19)</f>
        <v>74.1474793698712</v>
      </c>
      <c r="M19" s="11" t="n">
        <f aca="false">M$2 / RADIANS($A19)</f>
        <v>80.8881593125868</v>
      </c>
      <c r="N19" s="11" t="n">
        <f aca="false">N$2 / RADIANS($A19)</f>
        <v>87.6288392553024</v>
      </c>
      <c r="O19" s="11" t="n">
        <f aca="false">O$2 / RADIANS($A19)</f>
        <v>94.3695191980179</v>
      </c>
      <c r="P19" s="11" t="n">
        <f aca="false">P$2 / RADIANS($A19)</f>
        <v>101.110199140733</v>
      </c>
      <c r="Q19" s="11" t="n">
        <f aca="false">Q$2 / RADIANS($A19)</f>
        <v>107.850879083449</v>
      </c>
      <c r="R19" s="11" t="n">
        <f aca="false">R$2 / RADIANS($A19)</f>
        <v>114.591559026165</v>
      </c>
      <c r="S19" s="11" t="n">
        <f aca="false">S$2 / RADIANS($A19)</f>
        <v>121.33223896888</v>
      </c>
      <c r="T19" s="11" t="n">
        <f aca="false">T$2 / RADIANS($A19)</f>
        <v>128.072918911596</v>
      </c>
      <c r="U19" s="11" t="n">
        <f aca="false">U$2 / RADIANS($A19)</f>
        <v>134.813598854311</v>
      </c>
    </row>
    <row r="20" customFormat="false" ht="15.75" hidden="false" customHeight="false" outlineLevel="0" collapsed="false">
      <c r="A20" s="2" t="n">
        <f aca="false">(ROW()-2)*0.05</f>
        <v>0.9</v>
      </c>
      <c r="B20" s="11" t="n">
        <f aca="false">B$2 / RADIANS($A20)</f>
        <v>6.36619772367581</v>
      </c>
      <c r="C20" s="11" t="n">
        <f aca="false">C$2 / RADIANS($A20)</f>
        <v>12.7323954473516</v>
      </c>
      <c r="D20" s="11" t="n">
        <f aca="false">D$2 / RADIANS($A20)</f>
        <v>19.0985931710274</v>
      </c>
      <c r="E20" s="11" t="n">
        <f aca="false">E$2 / RADIANS($A20)</f>
        <v>25.4647908947033</v>
      </c>
      <c r="F20" s="11" t="n">
        <f aca="false">F$2 / RADIANS($A20)</f>
        <v>31.8309886183791</v>
      </c>
      <c r="G20" s="11" t="n">
        <f aca="false">G$2 / RADIANS($A20)</f>
        <v>38.1971863420549</v>
      </c>
      <c r="H20" s="11" t="n">
        <f aca="false">H$2 / RADIANS($A20)</f>
        <v>44.5633840657307</v>
      </c>
      <c r="I20" s="15" t="n">
        <f aca="false">I$2 / RADIANS($A20)</f>
        <v>50.9295817894065</v>
      </c>
      <c r="J20" s="11" t="n">
        <f aca="false">J$2 / RADIANS($A20)</f>
        <v>57.2957795130823</v>
      </c>
      <c r="K20" s="11" t="n">
        <f aca="false">K$2 / RADIANS($A20)</f>
        <v>63.6619772367581</v>
      </c>
      <c r="L20" s="11" t="n">
        <f aca="false">L$2 / RADIANS($A20)</f>
        <v>70.0281749604339</v>
      </c>
      <c r="M20" s="11" t="n">
        <f aca="false">M$2 / RADIANS($A20)</f>
        <v>76.3943726841098</v>
      </c>
      <c r="N20" s="11" t="n">
        <f aca="false">N$2 / RADIANS($A20)</f>
        <v>82.7605704077856</v>
      </c>
      <c r="O20" s="11" t="n">
        <f aca="false">O$2 / RADIANS($A20)</f>
        <v>89.1267681314614</v>
      </c>
      <c r="P20" s="11" t="n">
        <f aca="false">P$2 / RADIANS($A20)</f>
        <v>95.4929658551372</v>
      </c>
      <c r="Q20" s="11" t="n">
        <f aca="false">Q$2 / RADIANS($A20)</f>
        <v>101.859163578813</v>
      </c>
      <c r="R20" s="11" t="n">
        <f aca="false">R$2 / RADIANS($A20)</f>
        <v>108.225361302489</v>
      </c>
      <c r="S20" s="11" t="n">
        <f aca="false">S$2 / RADIANS($A20)</f>
        <v>114.591559026165</v>
      </c>
      <c r="T20" s="11" t="n">
        <f aca="false">T$2 / RADIANS($A20)</f>
        <v>120.95775674984</v>
      </c>
      <c r="U20" s="11" t="n">
        <f aca="false">U$2 / RADIANS($A20)</f>
        <v>127.323954473516</v>
      </c>
    </row>
    <row r="21" customFormat="false" ht="15.75" hidden="false" customHeight="false" outlineLevel="0" collapsed="false">
      <c r="A21" s="2" t="n">
        <f aca="false">(ROW()-2)*0.05</f>
        <v>0.95</v>
      </c>
      <c r="B21" s="11" t="n">
        <f aca="false">B$2 / RADIANS($A21)</f>
        <v>6.03113468558761</v>
      </c>
      <c r="C21" s="11" t="n">
        <f aca="false">C$2 / RADIANS($A21)</f>
        <v>12.0622693711752</v>
      </c>
      <c r="D21" s="11" t="n">
        <f aca="false">D$2 / RADIANS($A21)</f>
        <v>18.0934040567628</v>
      </c>
      <c r="E21" s="11" t="n">
        <f aca="false">E$2 / RADIANS($A21)</f>
        <v>24.1245387423505</v>
      </c>
      <c r="F21" s="11" t="n">
        <f aca="false">F$2 / RADIANS($A21)</f>
        <v>30.1556734279381</v>
      </c>
      <c r="G21" s="11" t="n">
        <f aca="false">G$2 / RADIANS($A21)</f>
        <v>36.1868081135257</v>
      </c>
      <c r="H21" s="11" t="n">
        <f aca="false">H$2 / RADIANS($A21)</f>
        <v>42.2179427991133</v>
      </c>
      <c r="I21" s="11" t="n">
        <f aca="false">I$2 / RADIANS($A21)</f>
        <v>48.2490774847009</v>
      </c>
      <c r="J21" s="11" t="n">
        <f aca="false">J$2 / RADIANS($A21)</f>
        <v>54.2802121702885</v>
      </c>
      <c r="K21" s="11" t="n">
        <f aca="false">K$2 / RADIANS($A21)</f>
        <v>60.3113468558761</v>
      </c>
      <c r="L21" s="11" t="n">
        <f aca="false">L$2 / RADIANS($A21)</f>
        <v>66.3424815414638</v>
      </c>
      <c r="M21" s="11" t="n">
        <f aca="false">M$2 / RADIANS($A21)</f>
        <v>72.3736162270514</v>
      </c>
      <c r="N21" s="11" t="n">
        <f aca="false">N$2 / RADIANS($A21)</f>
        <v>78.404750912639</v>
      </c>
      <c r="O21" s="11" t="n">
        <f aca="false">O$2 / RADIANS($A21)</f>
        <v>84.4358855982266</v>
      </c>
      <c r="P21" s="11" t="n">
        <f aca="false">P$2 / RADIANS($A21)</f>
        <v>90.4670202838142</v>
      </c>
      <c r="Q21" s="11" t="n">
        <f aca="false">Q$2 / RADIANS($A21)</f>
        <v>96.4981549694018</v>
      </c>
      <c r="R21" s="11" t="n">
        <f aca="false">R$2 / RADIANS($A21)</f>
        <v>102.529289654989</v>
      </c>
      <c r="S21" s="11" t="n">
        <f aca="false">S$2 / RADIANS($A21)</f>
        <v>108.560424340577</v>
      </c>
      <c r="T21" s="11" t="n">
        <f aca="false">T$2 / RADIANS($A21)</f>
        <v>114.591559026165</v>
      </c>
      <c r="U21" s="11" t="n">
        <f aca="false">U$2 / RADIANS($A21)</f>
        <v>120.622693711752</v>
      </c>
    </row>
    <row r="22" customFormat="false" ht="15.75" hidden="false" customHeight="false" outlineLevel="0" collapsed="false">
      <c r="A22" s="2" t="n">
        <f aca="false">(ROW()-2)*0.05</f>
        <v>1</v>
      </c>
      <c r="B22" s="11" t="n">
        <f aca="false">B$2 / RADIANS($A22)</f>
        <v>5.72957795130823</v>
      </c>
      <c r="C22" s="11" t="n">
        <f aca="false">C$2 / RADIANS($A22)</f>
        <v>11.4591559026165</v>
      </c>
      <c r="D22" s="11" t="n">
        <f aca="false">D$2 / RADIANS($A22)</f>
        <v>17.1887338539247</v>
      </c>
      <c r="E22" s="11" t="n">
        <f aca="false">E$2 / RADIANS($A22)</f>
        <v>22.9183118052329</v>
      </c>
      <c r="F22" s="11" t="n">
        <f aca="false">F$2 / RADIANS($A22)</f>
        <v>28.6478897565412</v>
      </c>
      <c r="G22" s="11" t="n">
        <f aca="false">G$2 / RADIANS($A22)</f>
        <v>34.3774677078494</v>
      </c>
      <c r="H22" s="11" t="n">
        <f aca="false">H$2 / RADIANS($A22)</f>
        <v>40.1070456591576</v>
      </c>
      <c r="I22" s="11" t="n">
        <f aca="false">I$2 / RADIANS($A22)</f>
        <v>45.8366236104659</v>
      </c>
      <c r="J22" s="11" t="n">
        <f aca="false">J$2 / RADIANS($A22)</f>
        <v>51.5662015617741</v>
      </c>
      <c r="K22" s="11" t="n">
        <f aca="false">K$2 / RADIANS($A22)</f>
        <v>57.2957795130823</v>
      </c>
      <c r="L22" s="11" t="n">
        <f aca="false">L$2 / RADIANS($A22)</f>
        <v>63.0253574643906</v>
      </c>
      <c r="M22" s="11" t="n">
        <f aca="false">M$2 / RADIANS($A22)</f>
        <v>68.7549354156988</v>
      </c>
      <c r="N22" s="11" t="n">
        <f aca="false">N$2 / RADIANS($A22)</f>
        <v>74.484513367007</v>
      </c>
      <c r="O22" s="11" t="n">
        <f aca="false">O$2 / RADIANS($A22)</f>
        <v>80.2140913183153</v>
      </c>
      <c r="P22" s="11" t="n">
        <f aca="false">P$2 / RADIANS($A22)</f>
        <v>85.9436692696235</v>
      </c>
      <c r="Q22" s="11" t="n">
        <f aca="false">Q$2 / RADIANS($A22)</f>
        <v>91.6732472209317</v>
      </c>
      <c r="R22" s="11" t="n">
        <f aca="false">R$2 / RADIANS($A22)</f>
        <v>97.40282517224</v>
      </c>
      <c r="S22" s="11" t="n">
        <f aca="false">S$2 / RADIANS($A22)</f>
        <v>103.132403123548</v>
      </c>
      <c r="T22" s="11" t="n">
        <f aca="false">T$2 / RADIANS($A22)</f>
        <v>108.861981074856</v>
      </c>
      <c r="U22" s="11" t="n">
        <f aca="false">U$2 / RADIANS($A22)</f>
        <v>114.591559026165</v>
      </c>
    </row>
    <row r="23" customFormat="false" ht="15.75" hidden="false" customHeight="false" outlineLevel="0" collapsed="false">
      <c r="A23" s="2" t="n">
        <f aca="false">(ROW()-2)*0.05</f>
        <v>1.05</v>
      </c>
      <c r="B23" s="11" t="n">
        <f aca="false">B$2 / RADIANS($A23)</f>
        <v>5.45674090600784</v>
      </c>
      <c r="C23" s="11" t="n">
        <f aca="false">C$2 / RADIANS($A23)</f>
        <v>10.9134818120157</v>
      </c>
      <c r="D23" s="11" t="n">
        <f aca="false">D$2 / RADIANS($A23)</f>
        <v>16.3702227180235</v>
      </c>
      <c r="E23" s="11" t="n">
        <f aca="false">E$2 / RADIANS($A23)</f>
        <v>21.8269636240314</v>
      </c>
      <c r="F23" s="11" t="n">
        <f aca="false">F$2 / RADIANS($A23)</f>
        <v>27.2837045300392</v>
      </c>
      <c r="G23" s="11" t="n">
        <f aca="false">G$2 / RADIANS($A23)</f>
        <v>32.7404454360471</v>
      </c>
      <c r="H23" s="11" t="n">
        <f aca="false">H$2 / RADIANS($A23)</f>
        <v>38.1971863420549</v>
      </c>
      <c r="I23" s="16" t="n">
        <f aca="false">I$2 / RADIANS($A23)</f>
        <v>43.6539272480627</v>
      </c>
      <c r="J23" s="11" t="n">
        <f aca="false">J$2 / RADIANS($A23)</f>
        <v>49.1106681540706</v>
      </c>
      <c r="K23" s="11" t="n">
        <f aca="false">K$2 / RADIANS($A23)</f>
        <v>54.5674090600784</v>
      </c>
      <c r="L23" s="12" t="n">
        <f aca="false">L$2 / RADIANS($A23)</f>
        <v>60.0241499660862</v>
      </c>
      <c r="M23" s="11" t="n">
        <f aca="false">M$2 / RADIANS($A23)</f>
        <v>65.4808908720941</v>
      </c>
      <c r="N23" s="11" t="n">
        <f aca="false">N$2 / RADIANS($A23)</f>
        <v>70.9376317781019</v>
      </c>
      <c r="O23" s="11" t="n">
        <f aca="false">O$2 / RADIANS($A23)</f>
        <v>76.3943726841098</v>
      </c>
      <c r="P23" s="11" t="n">
        <f aca="false">P$2 / RADIANS($A23)</f>
        <v>81.8511135901176</v>
      </c>
      <c r="Q23" s="11" t="n">
        <f aca="false">Q$2 / RADIANS($A23)</f>
        <v>87.3078544961254</v>
      </c>
      <c r="R23" s="11" t="n">
        <f aca="false">R$2 / RADIANS($A23)</f>
        <v>92.7645954021333</v>
      </c>
      <c r="S23" s="11" t="n">
        <f aca="false">S$2 / RADIANS($A23)</f>
        <v>98.2213363081411</v>
      </c>
      <c r="T23" s="11" t="n">
        <f aca="false">T$2 / RADIANS($A23)</f>
        <v>103.678077214149</v>
      </c>
      <c r="U23" s="11" t="n">
        <f aca="false">U$2 / RADIANS($A23)</f>
        <v>109.134818120157</v>
      </c>
    </row>
    <row r="24" customFormat="false" ht="15.75" hidden="false" customHeight="false" outlineLevel="0" collapsed="false">
      <c r="A24" s="2" t="n">
        <f aca="false">(ROW()-2)*0.05</f>
        <v>1.1</v>
      </c>
      <c r="B24" s="11" t="n">
        <f aca="false">B$2 / RADIANS($A24)</f>
        <v>5.20870722846203</v>
      </c>
      <c r="C24" s="11" t="n">
        <f aca="false">C$2 / RADIANS($A24)</f>
        <v>10.4174144569241</v>
      </c>
      <c r="D24" s="11" t="n">
        <f aca="false">D$2 / RADIANS($A24)</f>
        <v>15.6261216853861</v>
      </c>
      <c r="E24" s="11" t="n">
        <f aca="false">E$2 / RADIANS($A24)</f>
        <v>20.8348289138481</v>
      </c>
      <c r="F24" s="11" t="n">
        <f aca="false">F$2 / RADIANS($A24)</f>
        <v>26.0435361423102</v>
      </c>
      <c r="G24" s="11" t="n">
        <f aca="false">G$2 / RADIANS($A24)</f>
        <v>31.2522433707722</v>
      </c>
      <c r="H24" s="11" t="n">
        <f aca="false">H$2 / RADIANS($A24)</f>
        <v>36.4609505992342</v>
      </c>
      <c r="I24" s="13" t="n">
        <f aca="false">I$2 / RADIANS($A24)</f>
        <v>41.6696578276962</v>
      </c>
      <c r="J24" s="11" t="n">
        <f aca="false">J$2 / RADIANS($A24)</f>
        <v>46.8783650561583</v>
      </c>
      <c r="K24" s="13" t="n">
        <f aca="false">K$2 / RADIANS($A24)</f>
        <v>52.0870722846203</v>
      </c>
      <c r="L24" s="11" t="n">
        <f aca="false">L$2 / RADIANS($A24)</f>
        <v>57.2957795130823</v>
      </c>
      <c r="M24" s="11" t="n">
        <f aca="false">M$2 / RADIANS($A24)</f>
        <v>62.5044867415444</v>
      </c>
      <c r="N24" s="11" t="n">
        <f aca="false">N$2 / RADIANS($A24)</f>
        <v>67.7131939700064</v>
      </c>
      <c r="O24" s="11" t="n">
        <f aca="false">O$2 / RADIANS($A24)</f>
        <v>72.9219011984684</v>
      </c>
      <c r="P24" s="11" t="n">
        <f aca="false">P$2 / RADIANS($A24)</f>
        <v>78.1306084269304</v>
      </c>
      <c r="Q24" s="11" t="n">
        <f aca="false">Q$2 / RADIANS($A24)</f>
        <v>83.3393156553925</v>
      </c>
      <c r="R24" s="11" t="n">
        <f aca="false">R$2 / RADIANS($A24)</f>
        <v>88.5480228838545</v>
      </c>
      <c r="S24" s="11" t="n">
        <f aca="false">S$2 / RADIANS($A24)</f>
        <v>93.7567301123165</v>
      </c>
      <c r="T24" s="11" t="n">
        <f aca="false">T$2 / RADIANS($A24)</f>
        <v>98.9654373407786</v>
      </c>
      <c r="U24" s="11" t="n">
        <f aca="false">U$2 / RADIANS($A24)</f>
        <v>104.174144569241</v>
      </c>
    </row>
    <row r="25" customFormat="false" ht="15.75" hidden="false" customHeight="false" outlineLevel="0" collapsed="false">
      <c r="A25" s="2" t="n">
        <f aca="false">(ROW()-2)*0.05</f>
        <v>1.15</v>
      </c>
      <c r="B25" s="11" t="n">
        <f aca="false">B$2 / RADIANS($A25)</f>
        <v>4.98224169678977</v>
      </c>
      <c r="C25" s="11" t="n">
        <f aca="false">C$2 / RADIANS($A25)</f>
        <v>9.96448339357954</v>
      </c>
      <c r="D25" s="11" t="n">
        <f aca="false">D$2 / RADIANS($A25)</f>
        <v>14.9467250903693</v>
      </c>
      <c r="E25" s="11" t="n">
        <f aca="false">E$2 / RADIANS($A25)</f>
        <v>19.9289667871591</v>
      </c>
      <c r="F25" s="11" t="n">
        <f aca="false">F$2 / RADIANS($A25)</f>
        <v>24.9112084839488</v>
      </c>
      <c r="G25" s="11" t="n">
        <f aca="false">G$2 / RADIANS($A25)</f>
        <v>29.8934501807386</v>
      </c>
      <c r="H25" s="11" t="n">
        <f aca="false">H$2 / RADIANS($A25)</f>
        <v>34.8756918775284</v>
      </c>
      <c r="I25" s="11" t="n">
        <f aca="false">I$2 / RADIANS($A25)</f>
        <v>39.8579335743181</v>
      </c>
      <c r="J25" s="11" t="n">
        <f aca="false">J$2 / RADIANS($A25)</f>
        <v>44.8401752711079</v>
      </c>
      <c r="K25" s="11" t="n">
        <f aca="false">K$2 / RADIANS($A25)</f>
        <v>49.8224169678977</v>
      </c>
      <c r="L25" s="11" t="n">
        <f aca="false">L$2 / RADIANS($A25)</f>
        <v>54.8046586646874</v>
      </c>
      <c r="M25" s="11" t="n">
        <f aca="false">M$2 / RADIANS($A25)</f>
        <v>59.7869003614772</v>
      </c>
      <c r="N25" s="11" t="n">
        <f aca="false">N$2 / RADIANS($A25)</f>
        <v>64.769142058267</v>
      </c>
      <c r="O25" s="11" t="n">
        <f aca="false">O$2 / RADIANS($A25)</f>
        <v>69.7513837550568</v>
      </c>
      <c r="P25" s="11" t="n">
        <f aca="false">P$2 / RADIANS($A25)</f>
        <v>74.7336254518465</v>
      </c>
      <c r="Q25" s="11" t="n">
        <f aca="false">Q$2 / RADIANS($A25)</f>
        <v>79.7158671486363</v>
      </c>
      <c r="R25" s="11" t="n">
        <f aca="false">R$2 / RADIANS($A25)</f>
        <v>84.6981088454261</v>
      </c>
      <c r="S25" s="11" t="n">
        <f aca="false">S$2 / RADIANS($A25)</f>
        <v>89.6803505422158</v>
      </c>
      <c r="T25" s="11" t="n">
        <f aca="false">T$2 / RADIANS($A25)</f>
        <v>94.6625922390056</v>
      </c>
      <c r="U25" s="11" t="n">
        <f aca="false">U$2 / RADIANS($A25)</f>
        <v>99.6448339357954</v>
      </c>
    </row>
    <row r="26" customFormat="false" ht="15.75" hidden="false" customHeight="false" outlineLevel="0" collapsed="false">
      <c r="A26" s="2" t="n">
        <f aca="false">(ROW()-2)*0.05</f>
        <v>1.2</v>
      </c>
      <c r="B26" s="11" t="n">
        <f aca="false">B$2 / RADIANS($A26)</f>
        <v>4.77464829275686</v>
      </c>
      <c r="C26" s="11" t="n">
        <f aca="false">C$2 / RADIANS($A26)</f>
        <v>9.54929658551372</v>
      </c>
      <c r="D26" s="11" t="n">
        <f aca="false">D$2 / RADIANS($A26)</f>
        <v>14.3239448782706</v>
      </c>
      <c r="E26" s="11" t="n">
        <f aca="false">E$2 / RADIANS($A26)</f>
        <v>19.0985931710274</v>
      </c>
      <c r="F26" s="11" t="n">
        <f aca="false">F$2 / RADIANS($A26)</f>
        <v>23.8732414637843</v>
      </c>
      <c r="G26" s="11" t="n">
        <f aca="false">G$2 / RADIANS($A26)</f>
        <v>28.6478897565412</v>
      </c>
      <c r="H26" s="11" t="n">
        <f aca="false">H$2 / RADIANS($A26)</f>
        <v>33.422538049298</v>
      </c>
      <c r="I26" s="11" t="n">
        <f aca="false">I$2 / RADIANS($A26)</f>
        <v>38.1971863420549</v>
      </c>
      <c r="J26" s="11" t="n">
        <f aca="false">J$2 / RADIANS($A26)</f>
        <v>42.9718346348117</v>
      </c>
      <c r="K26" s="16" t="n">
        <f aca="false">K$2 / RADIANS($A26)</f>
        <v>47.7464829275686</v>
      </c>
      <c r="L26" s="11" t="n">
        <f aca="false">L$2 / RADIANS($A26)</f>
        <v>52.5211312203255</v>
      </c>
      <c r="M26" s="11" t="n">
        <f aca="false">M$2 / RADIANS($A26)</f>
        <v>57.2957795130823</v>
      </c>
      <c r="N26" s="11" t="n">
        <f aca="false">N$2 / RADIANS($A26)</f>
        <v>62.0704278058392</v>
      </c>
      <c r="O26" s="11" t="n">
        <f aca="false">O$2 / RADIANS($A26)</f>
        <v>66.845076098596</v>
      </c>
      <c r="P26" s="11" t="n">
        <f aca="false">P$2 / RADIANS($A26)</f>
        <v>71.6197243913529</v>
      </c>
      <c r="Q26" s="11" t="n">
        <f aca="false">Q$2 / RADIANS($A26)</f>
        <v>76.3943726841098</v>
      </c>
      <c r="R26" s="11" t="n">
        <f aca="false">R$2 / RADIANS($A26)</f>
        <v>81.1690209768666</v>
      </c>
      <c r="S26" s="11" t="n">
        <f aca="false">S$2 / RADIANS($A26)</f>
        <v>85.9436692696235</v>
      </c>
      <c r="T26" s="11" t="n">
        <f aca="false">T$2 / RADIANS($A26)</f>
        <v>90.7183175623803</v>
      </c>
      <c r="U26" s="11" t="n">
        <f aca="false">U$2 / RADIANS($A26)</f>
        <v>95.4929658551372</v>
      </c>
    </row>
    <row r="27" customFormat="false" ht="15.75" hidden="false" customHeight="false" outlineLevel="0" collapsed="false">
      <c r="A27" s="2" t="n">
        <f aca="false">(ROW()-2)*0.05</f>
        <v>1.25</v>
      </c>
      <c r="B27" s="11" t="n">
        <f aca="false">B$2 / RADIANS($A27)</f>
        <v>4.58366236104659</v>
      </c>
      <c r="C27" s="11" t="n">
        <f aca="false">C$2 / RADIANS($A27)</f>
        <v>9.16732472209317</v>
      </c>
      <c r="D27" s="11" t="n">
        <f aca="false">D$2 / RADIANS($A27)</f>
        <v>13.7509870831398</v>
      </c>
      <c r="E27" s="11" t="n">
        <f aca="false">E$2 / RADIANS($A27)</f>
        <v>18.3346494441863</v>
      </c>
      <c r="F27" s="11" t="n">
        <f aca="false">F$2 / RADIANS($A27)</f>
        <v>22.9183118052329</v>
      </c>
      <c r="G27" s="11" t="n">
        <f aca="false">G$2 / RADIANS($A27)</f>
        <v>27.5019741662795</v>
      </c>
      <c r="H27" s="11" t="n">
        <f aca="false">H$2 / RADIANS($A27)</f>
        <v>32.0856365273261</v>
      </c>
      <c r="I27" s="11" t="n">
        <f aca="false">I$2 / RADIANS($A27)</f>
        <v>36.6692988883727</v>
      </c>
      <c r="J27" s="11" t="n">
        <f aca="false">J$2 / RADIANS($A27)</f>
        <v>41.2529612494193</v>
      </c>
      <c r="K27" s="11" t="n">
        <f aca="false">K$2 / RADIANS($A27)</f>
        <v>45.8366236104659</v>
      </c>
      <c r="L27" s="11" t="n">
        <f aca="false">L$2 / RADIANS($A27)</f>
        <v>50.4202859715125</v>
      </c>
      <c r="M27" s="11" t="n">
        <f aca="false">M$2 / RADIANS($A27)</f>
        <v>55.003948332559</v>
      </c>
      <c r="N27" s="11" t="n">
        <f aca="false">N$2 / RADIANS($A27)</f>
        <v>59.5876106936056</v>
      </c>
      <c r="O27" s="11" t="n">
        <f aca="false">O$2 / RADIANS($A27)</f>
        <v>64.1712730546522</v>
      </c>
      <c r="P27" s="11" t="n">
        <f aca="false">P$2 / RADIANS($A27)</f>
        <v>68.7549354156988</v>
      </c>
      <c r="Q27" s="11" t="n">
        <f aca="false">Q$2 / RADIANS($A27)</f>
        <v>73.3385977767454</v>
      </c>
      <c r="R27" s="11" t="n">
        <f aca="false">R$2 / RADIANS($A27)</f>
        <v>77.922260137792</v>
      </c>
      <c r="S27" s="11" t="n">
        <f aca="false">S$2 / RADIANS($A27)</f>
        <v>82.5059224988385</v>
      </c>
      <c r="T27" s="11" t="n">
        <f aca="false">T$2 / RADIANS($A27)</f>
        <v>87.0895848598851</v>
      </c>
      <c r="U27" s="11" t="n">
        <f aca="false">U$2 / RADIANS($A27)</f>
        <v>91.6732472209317</v>
      </c>
    </row>
    <row r="28" customFormat="false" ht="15.75" hidden="false" customHeight="false" outlineLevel="0" collapsed="false">
      <c r="A28" s="2" t="n">
        <f aca="false">(ROW()-2)*0.05</f>
        <v>1.3</v>
      </c>
      <c r="B28" s="11" t="n">
        <f aca="false">B$2 / RADIANS($A28)</f>
        <v>4.40736765485249</v>
      </c>
      <c r="C28" s="11" t="n">
        <f aca="false">C$2 / RADIANS($A28)</f>
        <v>8.81473530970497</v>
      </c>
      <c r="D28" s="11" t="n">
        <f aca="false">D$2 / RADIANS($A28)</f>
        <v>13.2221029645575</v>
      </c>
      <c r="E28" s="11" t="n">
        <f aca="false">E$2 / RADIANS($A28)</f>
        <v>17.6294706194099</v>
      </c>
      <c r="F28" s="11" t="n">
        <f aca="false">F$2 / RADIANS($A28)</f>
        <v>22.0368382742624</v>
      </c>
      <c r="G28" s="11" t="n">
        <f aca="false">G$2 / RADIANS($A28)</f>
        <v>26.4442059291149</v>
      </c>
      <c r="H28" s="11" t="n">
        <f aca="false">H$2 / RADIANS($A28)</f>
        <v>30.8515735839674</v>
      </c>
      <c r="I28" s="11" t="n">
        <f aca="false">I$2 / RADIANS($A28)</f>
        <v>35.2589412388199</v>
      </c>
      <c r="J28" s="11" t="n">
        <f aca="false">J$2 / RADIANS($A28)</f>
        <v>39.6663088936724</v>
      </c>
      <c r="K28" s="11" t="n">
        <f aca="false">K$2 / RADIANS($A28)</f>
        <v>44.0736765485249</v>
      </c>
      <c r="L28" s="11" t="n">
        <f aca="false">L$2 / RADIANS($A28)</f>
        <v>48.4810442033774</v>
      </c>
      <c r="M28" s="16" t="n">
        <f aca="false">M$2 / RADIANS($A28)</f>
        <v>52.8884118582298</v>
      </c>
      <c r="N28" s="11" t="n">
        <f aca="false">N$2 / RADIANS($A28)</f>
        <v>57.2957795130823</v>
      </c>
      <c r="O28" s="11" t="n">
        <f aca="false">O$2 / RADIANS($A28)</f>
        <v>61.7031471679348</v>
      </c>
      <c r="P28" s="11" t="n">
        <f aca="false">P$2 / RADIANS($A28)</f>
        <v>66.1105148227873</v>
      </c>
      <c r="Q28" s="11" t="n">
        <f aca="false">Q$2 / RADIANS($A28)</f>
        <v>70.5178824776398</v>
      </c>
      <c r="R28" s="11" t="n">
        <f aca="false">R$2 / RADIANS($A28)</f>
        <v>74.9252501324923</v>
      </c>
      <c r="S28" s="11" t="n">
        <f aca="false">S$2 / RADIANS($A28)</f>
        <v>79.3326177873448</v>
      </c>
      <c r="T28" s="11" t="n">
        <f aca="false">T$2 / RADIANS($A28)</f>
        <v>83.7399854421972</v>
      </c>
      <c r="U28" s="11" t="n">
        <f aca="false">U$2 / RADIANS($A28)</f>
        <v>88.1473530970497</v>
      </c>
    </row>
    <row r="29" customFormat="false" ht="15.75" hidden="false" customHeight="false" outlineLevel="0" collapsed="false">
      <c r="A29" s="2" t="n">
        <f aca="false">(ROW()-2)*0.05</f>
        <v>1.35</v>
      </c>
      <c r="B29" s="11" t="n">
        <f aca="false">B$2 / RADIANS($A29)</f>
        <v>4.24413181578388</v>
      </c>
      <c r="C29" s="11" t="n">
        <f aca="false">C$2 / RADIANS($A29)</f>
        <v>8.48826363156775</v>
      </c>
      <c r="D29" s="11" t="n">
        <f aca="false">D$2 / RADIANS($A29)</f>
        <v>12.7323954473516</v>
      </c>
      <c r="E29" s="11" t="n">
        <f aca="false">E$2 / RADIANS($A29)</f>
        <v>16.9765272631355</v>
      </c>
      <c r="F29" s="11" t="n">
        <f aca="false">F$2 / RADIANS($A29)</f>
        <v>21.2206590789194</v>
      </c>
      <c r="G29" s="11" t="n">
        <f aca="false">G$2 / RADIANS($A29)</f>
        <v>25.4647908947033</v>
      </c>
      <c r="H29" s="11" t="n">
        <f aca="false">H$2 / RADIANS($A29)</f>
        <v>29.7089227104871</v>
      </c>
      <c r="I29" s="11" t="n">
        <f aca="false">I$2 / RADIANS($A29)</f>
        <v>33.953054526271</v>
      </c>
      <c r="J29" s="11" t="n">
        <f aca="false">J$2 / RADIANS($A29)</f>
        <v>38.1971863420549</v>
      </c>
      <c r="K29" s="11" t="n">
        <f aca="false">K$2 / RADIANS($A29)</f>
        <v>42.4413181578388</v>
      </c>
      <c r="L29" s="11" t="n">
        <f aca="false">L$2 / RADIANS($A29)</f>
        <v>46.6854499736226</v>
      </c>
      <c r="M29" s="11" t="n">
        <f aca="false">M$2 / RADIANS($A29)</f>
        <v>50.9295817894065</v>
      </c>
      <c r="N29" s="11" t="n">
        <f aca="false">N$2 / RADIANS($A29)</f>
        <v>55.1737136051904</v>
      </c>
      <c r="O29" s="11" t="n">
        <f aca="false">O$2 / RADIANS($A29)</f>
        <v>59.4178454209743</v>
      </c>
      <c r="P29" s="11" t="n">
        <f aca="false">P$2 / RADIANS($A29)</f>
        <v>63.6619772367581</v>
      </c>
      <c r="Q29" s="11" t="n">
        <f aca="false">Q$2 / RADIANS($A29)</f>
        <v>67.906109052542</v>
      </c>
      <c r="R29" s="11" t="n">
        <f aca="false">R$2 / RADIANS($A29)</f>
        <v>72.1502408683259</v>
      </c>
      <c r="S29" s="11" t="n">
        <f aca="false">S$2 / RADIANS($A29)</f>
        <v>76.3943726841098</v>
      </c>
      <c r="T29" s="11" t="n">
        <f aca="false">T$2 / RADIANS($A29)</f>
        <v>80.6385044998936</v>
      </c>
      <c r="U29" s="11" t="n">
        <f aca="false">U$2 / RADIANS($A29)</f>
        <v>84.8826363156775</v>
      </c>
    </row>
    <row r="30" customFormat="false" ht="15.75" hidden="false" customHeight="false" outlineLevel="0" collapsed="false">
      <c r="A30" s="2" t="n">
        <f aca="false">(ROW()-2)*0.05</f>
        <v>1.4</v>
      </c>
      <c r="B30" s="11" t="n">
        <f aca="false">B$2 / RADIANS($A30)</f>
        <v>4.09255567950588</v>
      </c>
      <c r="C30" s="11" t="n">
        <f aca="false">C$2 / RADIANS($A30)</f>
        <v>8.18511135901176</v>
      </c>
      <c r="D30" s="11" t="n">
        <f aca="false">D$2 / RADIANS($A30)</f>
        <v>12.2776670385176</v>
      </c>
      <c r="E30" s="11" t="n">
        <f aca="false">E$2 / RADIANS($A30)</f>
        <v>16.3702227180235</v>
      </c>
      <c r="F30" s="11" t="n">
        <f aca="false">F$2 / RADIANS($A30)</f>
        <v>20.4627783975294</v>
      </c>
      <c r="G30" s="11" t="n">
        <f aca="false">G$2 / RADIANS($A30)</f>
        <v>24.5553340770353</v>
      </c>
      <c r="H30" s="11" t="n">
        <f aca="false">H$2 / RADIANS($A30)</f>
        <v>28.6478897565412</v>
      </c>
      <c r="I30" s="11" t="n">
        <f aca="false">I$2 / RADIANS($A30)</f>
        <v>32.740445436047</v>
      </c>
      <c r="J30" s="11" t="n">
        <f aca="false">J$2 / RADIANS($A30)</f>
        <v>36.8330011155529</v>
      </c>
      <c r="K30" s="11" t="n">
        <f aca="false">K$2 / RADIANS($A30)</f>
        <v>40.9255567950588</v>
      </c>
      <c r="L30" s="11" t="n">
        <f aca="false">L$2 / RADIANS($A30)</f>
        <v>45.0181124745647</v>
      </c>
      <c r="M30" s="11" t="n">
        <f aca="false">M$2 / RADIANS($A30)</f>
        <v>49.1106681540706</v>
      </c>
      <c r="N30" s="11" t="n">
        <f aca="false">N$2 / RADIANS($A30)</f>
        <v>53.2032238335764</v>
      </c>
      <c r="O30" s="11" t="n">
        <f aca="false">O$2 / RADIANS($A30)</f>
        <v>57.2957795130823</v>
      </c>
      <c r="P30" s="11" t="n">
        <f aca="false">P$2 / RADIANS($A30)</f>
        <v>61.3883351925882</v>
      </c>
      <c r="Q30" s="11" t="n">
        <f aca="false">Q$2 / RADIANS($A30)</f>
        <v>65.4808908720941</v>
      </c>
      <c r="R30" s="11" t="n">
        <f aca="false">R$2 / RADIANS($A30)</f>
        <v>69.5734465516</v>
      </c>
      <c r="S30" s="11" t="n">
        <f aca="false">S$2 / RADIANS($A30)</f>
        <v>73.6660022311058</v>
      </c>
      <c r="T30" s="11" t="n">
        <f aca="false">T$2 / RADIANS($A30)</f>
        <v>77.7585579106117</v>
      </c>
      <c r="U30" s="11" t="n">
        <f aca="false">U$2 / RADIANS($A30)</f>
        <v>81.8511135901176</v>
      </c>
    </row>
    <row r="31" customFormat="false" ht="15.75" hidden="false" customHeight="false" outlineLevel="0" collapsed="false">
      <c r="A31" s="2" t="n">
        <f aca="false">(ROW()-2)*0.05</f>
        <v>1.45</v>
      </c>
      <c r="B31" s="11" t="n">
        <f aca="false">B$2 / RADIANS($A31)</f>
        <v>3.95143306986775</v>
      </c>
      <c r="C31" s="11" t="n">
        <f aca="false">C$2 / RADIANS($A31)</f>
        <v>7.90286613973549</v>
      </c>
      <c r="D31" s="11" t="n">
        <f aca="false">D$2 / RADIANS($A31)</f>
        <v>11.8542992096032</v>
      </c>
      <c r="E31" s="11" t="n">
        <f aca="false">E$2 / RADIANS($A31)</f>
        <v>15.805732279471</v>
      </c>
      <c r="F31" s="11" t="n">
        <f aca="false">F$2 / RADIANS($A31)</f>
        <v>19.7571653493387</v>
      </c>
      <c r="G31" s="11" t="n">
        <f aca="false">G$2 / RADIANS($A31)</f>
        <v>23.7085984192065</v>
      </c>
      <c r="H31" s="11" t="n">
        <f aca="false">H$2 / RADIANS($A31)</f>
        <v>27.6600314890742</v>
      </c>
      <c r="I31" s="11" t="n">
        <f aca="false">I$2 / RADIANS($A31)</f>
        <v>31.611464558942</v>
      </c>
      <c r="J31" s="11" t="n">
        <f aca="false">J$2 / RADIANS($A31)</f>
        <v>35.5628976288097</v>
      </c>
      <c r="K31" s="11" t="n">
        <f aca="false">K$2 / RADIANS($A31)</f>
        <v>39.5143306986775</v>
      </c>
      <c r="L31" s="11" t="n">
        <f aca="false">L$2 / RADIANS($A31)</f>
        <v>43.4657637685452</v>
      </c>
      <c r="M31" s="17" t="n">
        <f aca="false">M$2 / RADIANS($A31)</f>
        <v>47.417196838413</v>
      </c>
      <c r="N31" s="11" t="n">
        <f aca="false">N$2 / RADIANS($A31)</f>
        <v>51.3686299082807</v>
      </c>
      <c r="O31" s="11" t="n">
        <f aca="false">O$2 / RADIANS($A31)</f>
        <v>55.3200629781484</v>
      </c>
      <c r="P31" s="11" t="n">
        <f aca="false">P$2 / RADIANS($A31)</f>
        <v>59.2714960480162</v>
      </c>
      <c r="Q31" s="11" t="n">
        <f aca="false">Q$2 / RADIANS($A31)</f>
        <v>63.2229291178839</v>
      </c>
      <c r="R31" s="11" t="n">
        <f aca="false">R$2 / RADIANS($A31)</f>
        <v>67.1743621877517</v>
      </c>
      <c r="S31" s="11" t="n">
        <f aca="false">S$2 / RADIANS($A31)</f>
        <v>71.1257952576194</v>
      </c>
      <c r="T31" s="11" t="n">
        <f aca="false">T$2 / RADIANS($A31)</f>
        <v>75.0772283274872</v>
      </c>
      <c r="U31" s="11" t="n">
        <f aca="false">U$2 / RADIANS($A31)</f>
        <v>79.0286613973549</v>
      </c>
    </row>
    <row r="32" customFormat="false" ht="15.75" hidden="false" customHeight="false" outlineLevel="0" collapsed="false">
      <c r="A32" s="2" t="n">
        <f aca="false">(ROW()-2)*0.05</f>
        <v>1.5</v>
      </c>
      <c r="B32" s="11" t="n">
        <f aca="false">B$2 / RADIANS($A32)</f>
        <v>3.81971863420549</v>
      </c>
      <c r="C32" s="11" t="n">
        <f aca="false">C$2 / RADIANS($A32)</f>
        <v>7.63943726841098</v>
      </c>
      <c r="D32" s="11" t="n">
        <f aca="false">D$2 / RADIANS($A32)</f>
        <v>11.4591559026165</v>
      </c>
      <c r="E32" s="11" t="n">
        <f aca="false">E$2 / RADIANS($A32)</f>
        <v>15.278874536822</v>
      </c>
      <c r="F32" s="11" t="n">
        <f aca="false">F$2 / RADIANS($A32)</f>
        <v>19.0985931710274</v>
      </c>
      <c r="G32" s="11" t="n">
        <f aca="false">G$2 / RADIANS($A32)</f>
        <v>22.9183118052329</v>
      </c>
      <c r="H32" s="11" t="n">
        <f aca="false">H$2 / RADIANS($A32)</f>
        <v>26.7380304394384</v>
      </c>
      <c r="I32" s="11" t="n">
        <f aca="false">I$2 / RADIANS($A32)</f>
        <v>30.5577490736439</v>
      </c>
      <c r="J32" s="17" t="n">
        <f aca="false">J$2 / RADIANS($A32)</f>
        <v>34.3774677078494</v>
      </c>
      <c r="K32" s="11" t="n">
        <f aca="false">K$2 / RADIANS($A32)</f>
        <v>38.1971863420549</v>
      </c>
      <c r="L32" s="15" t="n">
        <f aca="false">L$2 / RADIANS($A32)</f>
        <v>42.0169049762604</v>
      </c>
      <c r="M32" s="11" t="n">
        <f aca="false">M$2 / RADIANS($A32)</f>
        <v>45.8366236104659</v>
      </c>
      <c r="N32" s="11" t="n">
        <f aca="false">N$2 / RADIANS($A32)</f>
        <v>49.6563422446714</v>
      </c>
      <c r="O32" s="11" t="n">
        <f aca="false">O$2 / RADIANS($A32)</f>
        <v>53.4760608788768</v>
      </c>
      <c r="P32" s="11" t="n">
        <f aca="false">P$2 / RADIANS($A32)</f>
        <v>57.2957795130823</v>
      </c>
      <c r="Q32" s="11" t="n">
        <f aca="false">Q$2 / RADIANS($A32)</f>
        <v>61.1154981472878</v>
      </c>
      <c r="R32" s="11" t="n">
        <f aca="false">R$2 / RADIANS($A32)</f>
        <v>64.9352167814933</v>
      </c>
      <c r="S32" s="11" t="n">
        <f aca="false">S$2 / RADIANS($A32)</f>
        <v>68.7549354156988</v>
      </c>
      <c r="T32" s="11" t="n">
        <f aca="false">T$2 / RADIANS($A32)</f>
        <v>72.5746540499043</v>
      </c>
      <c r="U32" s="11" t="n">
        <f aca="false">U$2 / RADIANS($A32)</f>
        <v>76.3943726841098</v>
      </c>
    </row>
    <row r="33" customFormat="false" ht="15.75" hidden="false" customHeight="false" outlineLevel="0" collapsed="false">
      <c r="A33" s="2" t="n">
        <f aca="false">(ROW()-2)*0.05</f>
        <v>1.55</v>
      </c>
      <c r="B33" s="11" t="n">
        <f aca="false">B$2 / RADIANS($A33)</f>
        <v>3.69650190406983</v>
      </c>
      <c r="C33" s="11" t="n">
        <f aca="false">C$2 / RADIANS($A33)</f>
        <v>7.39300380813966</v>
      </c>
      <c r="D33" s="11" t="n">
        <f aca="false">D$2 / RADIANS($A33)</f>
        <v>11.0895057122095</v>
      </c>
      <c r="E33" s="11" t="n">
        <f aca="false">E$2 / RADIANS($A33)</f>
        <v>14.7860076162793</v>
      </c>
      <c r="F33" s="11" t="n">
        <f aca="false">F$2 / RADIANS($A33)</f>
        <v>18.4825095203491</v>
      </c>
      <c r="G33" s="11" t="n">
        <f aca="false">G$2 / RADIANS($A33)</f>
        <v>22.179011424419</v>
      </c>
      <c r="H33" s="11" t="n">
        <f aca="false">H$2 / RADIANS($A33)</f>
        <v>25.8755133284888</v>
      </c>
      <c r="I33" s="11" t="n">
        <f aca="false">I$2 / RADIANS($A33)</f>
        <v>29.5720152325586</v>
      </c>
      <c r="J33" s="11" t="n">
        <f aca="false">J$2 / RADIANS($A33)</f>
        <v>33.2685171366285</v>
      </c>
      <c r="K33" s="11" t="n">
        <f aca="false">K$2 / RADIANS($A33)</f>
        <v>36.9650190406983</v>
      </c>
      <c r="L33" s="11" t="n">
        <f aca="false">L$2 / RADIANS($A33)</f>
        <v>40.6615209447681</v>
      </c>
      <c r="M33" s="11" t="n">
        <f aca="false">M$2 / RADIANS($A33)</f>
        <v>44.3580228488379</v>
      </c>
      <c r="N33" s="11" t="n">
        <f aca="false">N$2 / RADIANS($A33)</f>
        <v>48.0545247529078</v>
      </c>
      <c r="O33" s="11" t="n">
        <f aca="false">O$2 / RADIANS($A33)</f>
        <v>51.7510266569776</v>
      </c>
      <c r="P33" s="17" t="n">
        <f aca="false">P$2 / RADIANS($A33)</f>
        <v>55.4475285610474</v>
      </c>
      <c r="Q33" s="11" t="n">
        <f aca="false">Q$2 / RADIANS($A33)</f>
        <v>59.1440304651172</v>
      </c>
      <c r="R33" s="11" t="n">
        <f aca="false">R$2 / RADIANS($A33)</f>
        <v>62.8405323691871</v>
      </c>
      <c r="S33" s="11" t="n">
        <f aca="false">S$2 / RADIANS($A33)</f>
        <v>66.5370342732569</v>
      </c>
      <c r="T33" s="11" t="n">
        <f aca="false">T$2 / RADIANS($A33)</f>
        <v>70.2335361773267</v>
      </c>
      <c r="U33" s="11" t="n">
        <f aca="false">U$2 / RADIANS($A33)</f>
        <v>73.9300380813966</v>
      </c>
    </row>
    <row r="34" customFormat="false" ht="15.75" hidden="false" customHeight="false" outlineLevel="0" collapsed="false">
      <c r="A34" s="2" t="n">
        <f aca="false">(ROW()-2)*0.05</f>
        <v>1.6</v>
      </c>
      <c r="B34" s="11" t="n">
        <f aca="false">B$2 / RADIANS($A34)</f>
        <v>3.58098621956765</v>
      </c>
      <c r="C34" s="11" t="n">
        <f aca="false">C$2 / RADIANS($A34)</f>
        <v>7.16197243913529</v>
      </c>
      <c r="D34" s="11" t="n">
        <f aca="false">D$2 / RADIANS($A34)</f>
        <v>10.7429586587029</v>
      </c>
      <c r="E34" s="11" t="n">
        <f aca="false">E$2 / RADIANS($A34)</f>
        <v>14.3239448782706</v>
      </c>
      <c r="F34" s="11" t="n">
        <f aca="false">F$2 / RADIANS($A34)</f>
        <v>17.9049310978382</v>
      </c>
      <c r="G34" s="11" t="n">
        <f aca="false">G$2 / RADIANS($A34)</f>
        <v>21.4859173174059</v>
      </c>
      <c r="H34" s="11" t="n">
        <f aca="false">H$2 / RADIANS($A34)</f>
        <v>25.0669035369735</v>
      </c>
      <c r="I34" s="11" t="n">
        <f aca="false">I$2 / RADIANS($A34)</f>
        <v>28.6478897565412</v>
      </c>
      <c r="J34" s="11" t="n">
        <f aca="false">J$2 / RADIANS($A34)</f>
        <v>32.2288759761088</v>
      </c>
      <c r="K34" s="11" t="n">
        <f aca="false">K$2 / RADIANS($A34)</f>
        <v>35.8098621956765</v>
      </c>
      <c r="L34" s="11" t="n">
        <f aca="false">L$2 / RADIANS($A34)</f>
        <v>39.3908484152441</v>
      </c>
      <c r="M34" s="11" t="n">
        <f aca="false">M$2 / RADIANS($A34)</f>
        <v>42.9718346348118</v>
      </c>
      <c r="N34" s="11" t="n">
        <f aca="false">N$2 / RADIANS($A34)</f>
        <v>46.5528208543794</v>
      </c>
      <c r="O34" s="11" t="n">
        <f aca="false">O$2 / RADIANS($A34)</f>
        <v>50.133807073947</v>
      </c>
      <c r="P34" s="11" t="n">
        <f aca="false">P$2 / RADIANS($A34)</f>
        <v>53.7147932935147</v>
      </c>
      <c r="Q34" s="11" t="n">
        <f aca="false">Q$2 / RADIANS($A34)</f>
        <v>57.2957795130823</v>
      </c>
      <c r="R34" s="11" t="n">
        <f aca="false">R$2 / RADIANS($A34)</f>
        <v>60.87676573265</v>
      </c>
      <c r="S34" s="11" t="n">
        <f aca="false">S$2 / RADIANS($A34)</f>
        <v>64.4577519522176</v>
      </c>
      <c r="T34" s="11" t="n">
        <f aca="false">T$2 / RADIANS($A34)</f>
        <v>68.0387381717853</v>
      </c>
      <c r="U34" s="11" t="n">
        <f aca="false">U$2 / RADIANS($A34)</f>
        <v>71.6197243913529</v>
      </c>
    </row>
    <row r="35" customFormat="false" ht="15.75" hidden="false" customHeight="false" outlineLevel="0" collapsed="false">
      <c r="A35" s="2" t="n">
        <f aca="false">(ROW()-2)*0.05</f>
        <v>1.65</v>
      </c>
      <c r="B35" s="11" t="n">
        <f aca="false">B$2 / RADIANS($A35)</f>
        <v>3.47247148564135</v>
      </c>
      <c r="C35" s="11" t="n">
        <f aca="false">C$2 / RADIANS($A35)</f>
        <v>6.94494297128271</v>
      </c>
      <c r="D35" s="11" t="n">
        <f aca="false">D$2 / RADIANS($A35)</f>
        <v>10.4174144569241</v>
      </c>
      <c r="E35" s="11" t="n">
        <f aca="false">E$2 / RADIANS($A35)</f>
        <v>13.8898859425654</v>
      </c>
      <c r="F35" s="11" t="n">
        <f aca="false">F$2 / RADIANS($A35)</f>
        <v>17.3623574282068</v>
      </c>
      <c r="G35" s="11" t="n">
        <f aca="false">G$2 / RADIANS($A35)</f>
        <v>20.8348289138481</v>
      </c>
      <c r="H35" s="11" t="n">
        <f aca="false">H$2 / RADIANS($A35)</f>
        <v>24.3073003994895</v>
      </c>
      <c r="I35" s="11" t="n">
        <f aca="false">I$2 / RADIANS($A35)</f>
        <v>27.7797718851308</v>
      </c>
      <c r="J35" s="11" t="n">
        <f aca="false">J$2 / RADIANS($A35)</f>
        <v>31.2522433707722</v>
      </c>
      <c r="K35" s="11" t="n">
        <f aca="false">K$2 / RADIANS($A35)</f>
        <v>34.7247148564135</v>
      </c>
      <c r="L35" s="11" t="n">
        <f aca="false">L$2 / RADIANS($A35)</f>
        <v>38.1971863420549</v>
      </c>
      <c r="M35" s="11" t="n">
        <f aca="false">M$2 / RADIANS($A35)</f>
        <v>41.6696578276962</v>
      </c>
      <c r="N35" s="11" t="n">
        <f aca="false">N$2 / RADIANS($A35)</f>
        <v>45.1421293133376</v>
      </c>
      <c r="O35" s="11" t="n">
        <f aca="false">O$2 / RADIANS($A35)</f>
        <v>48.614600798979</v>
      </c>
      <c r="P35" s="11" t="n">
        <f aca="false">P$2 / RADIANS($A35)</f>
        <v>52.0870722846203</v>
      </c>
      <c r="Q35" s="11" t="n">
        <f aca="false">Q$2 / RADIANS($A35)</f>
        <v>55.5595437702617</v>
      </c>
      <c r="R35" s="11" t="n">
        <f aca="false">R$2 / RADIANS($A35)</f>
        <v>59.032015255903</v>
      </c>
      <c r="S35" s="11" t="n">
        <f aca="false">S$2 / RADIANS($A35)</f>
        <v>62.5044867415444</v>
      </c>
      <c r="T35" s="11" t="n">
        <f aca="false">T$2 / RADIANS($A35)</f>
        <v>65.9769582271857</v>
      </c>
      <c r="U35" s="11" t="n">
        <f aca="false">U$2 / RADIANS($A35)</f>
        <v>69.4494297128271</v>
      </c>
    </row>
    <row r="36" customFormat="false" ht="15.75" hidden="false" customHeight="false" outlineLevel="0" collapsed="false">
      <c r="A36" s="2" t="n">
        <f aca="false">(ROW()-2)*0.05</f>
        <v>1.7</v>
      </c>
      <c r="B36" s="11" t="n">
        <f aca="false">B$2 / RADIANS($A36)</f>
        <v>3.37033997135778</v>
      </c>
      <c r="C36" s="11" t="n">
        <f aca="false">C$2 / RADIANS($A36)</f>
        <v>6.74067994271557</v>
      </c>
      <c r="D36" s="11" t="n">
        <f aca="false">D$2 / RADIANS($A36)</f>
        <v>10.1110199140734</v>
      </c>
      <c r="E36" s="11" t="n">
        <f aca="false">E$2 / RADIANS($A36)</f>
        <v>13.4813598854311</v>
      </c>
      <c r="F36" s="11" t="n">
        <f aca="false">F$2 / RADIANS($A36)</f>
        <v>16.8516998567889</v>
      </c>
      <c r="G36" s="11" t="n">
        <f aca="false">G$2 / RADIANS($A36)</f>
        <v>20.2220398281467</v>
      </c>
      <c r="H36" s="11" t="n">
        <f aca="false">H$2 / RADIANS($A36)</f>
        <v>23.5923797995045</v>
      </c>
      <c r="I36" s="11" t="n">
        <f aca="false">I$2 / RADIANS($A36)</f>
        <v>26.9627197708623</v>
      </c>
      <c r="J36" s="11" t="n">
        <f aca="false">J$2 / RADIANS($A36)</f>
        <v>30.33305974222</v>
      </c>
      <c r="K36" s="11" t="n">
        <f aca="false">K$2 / RADIANS($A36)</f>
        <v>33.7033997135778</v>
      </c>
      <c r="L36" s="11" t="n">
        <f aca="false">L$2 / RADIANS($A36)</f>
        <v>37.0737396849356</v>
      </c>
      <c r="M36" s="11" t="n">
        <f aca="false">M$2 / RADIANS($A36)</f>
        <v>40.4440796562934</v>
      </c>
      <c r="N36" s="11" t="n">
        <f aca="false">N$2 / RADIANS($A36)</f>
        <v>43.8144196276512</v>
      </c>
      <c r="O36" s="11" t="n">
        <f aca="false">O$2 / RADIANS($A36)</f>
        <v>47.184759599009</v>
      </c>
      <c r="P36" s="11" t="n">
        <f aca="false">P$2 / RADIANS($A36)</f>
        <v>50.5550995703667</v>
      </c>
      <c r="Q36" s="11" t="n">
        <f aca="false">Q$2 / RADIANS($A36)</f>
        <v>53.9254395417245</v>
      </c>
      <c r="R36" s="11" t="n">
        <f aca="false">R$2 / RADIANS($A36)</f>
        <v>57.2957795130823</v>
      </c>
      <c r="S36" s="11" t="n">
        <f aca="false">S$2 / RADIANS($A36)</f>
        <v>60.6661194844401</v>
      </c>
      <c r="T36" s="11" t="n">
        <f aca="false">T$2 / RADIANS($A36)</f>
        <v>64.0364594557979</v>
      </c>
      <c r="U36" s="11" t="n">
        <f aca="false">U$2 / RADIANS($A36)</f>
        <v>67.4067994271557</v>
      </c>
    </row>
    <row r="37" customFormat="false" ht="15.75" hidden="false" customHeight="false" outlineLevel="0" collapsed="false">
      <c r="A37" s="2" t="n">
        <f aca="false">(ROW()-2)*0.05</f>
        <v>1.75</v>
      </c>
      <c r="B37" s="11" t="n">
        <f aca="false">B$2 / RADIANS($A37)</f>
        <v>3.2740445436047</v>
      </c>
      <c r="C37" s="11" t="n">
        <f aca="false">C$2 / RADIANS($A37)</f>
        <v>6.54808908720941</v>
      </c>
      <c r="D37" s="11" t="n">
        <f aca="false">D$2 / RADIANS($A37)</f>
        <v>9.82213363081411</v>
      </c>
      <c r="E37" s="11" t="n">
        <f aca="false">E$2 / RADIANS($A37)</f>
        <v>13.0961781744188</v>
      </c>
      <c r="F37" s="11" t="n">
        <f aca="false">F$2 / RADIANS($A37)</f>
        <v>16.3702227180235</v>
      </c>
      <c r="G37" s="11" t="n">
        <f aca="false">G$2 / RADIANS($A37)</f>
        <v>19.6442672616282</v>
      </c>
      <c r="H37" s="11" t="n">
        <f aca="false">H$2 / RADIANS($A37)</f>
        <v>22.9183118052329</v>
      </c>
      <c r="I37" s="11" t="n">
        <f aca="false">I$2 / RADIANS($A37)</f>
        <v>26.1923563488376</v>
      </c>
      <c r="J37" s="11" t="n">
        <f aca="false">J$2 / RADIANS($A37)</f>
        <v>29.4664008924423</v>
      </c>
      <c r="K37" s="11" t="n">
        <f aca="false">K$2 / RADIANS($A37)</f>
        <v>32.740445436047</v>
      </c>
      <c r="L37" s="11" t="n">
        <f aca="false">L$2 / RADIANS($A37)</f>
        <v>36.0144899796518</v>
      </c>
      <c r="M37" s="11" t="n">
        <f aca="false">M$2 / RADIANS($A37)</f>
        <v>39.2885345232565</v>
      </c>
      <c r="N37" s="11" t="n">
        <f aca="false">N$2 / RADIANS($A37)</f>
        <v>42.5625790668612</v>
      </c>
      <c r="O37" s="11" t="n">
        <f aca="false">O$2 / RADIANS($A37)</f>
        <v>45.8366236104659</v>
      </c>
      <c r="P37" s="11" t="n">
        <f aca="false">P$2 / RADIANS($A37)</f>
        <v>49.1106681540706</v>
      </c>
      <c r="Q37" s="11" t="n">
        <f aca="false">Q$2 / RADIANS($A37)</f>
        <v>52.3847126976753</v>
      </c>
      <c r="R37" s="11" t="n">
        <f aca="false">R$2 / RADIANS($A37)</f>
        <v>55.65875724128</v>
      </c>
      <c r="S37" s="11" t="n">
        <f aca="false">S$2 / RADIANS($A37)</f>
        <v>58.9328017848847</v>
      </c>
      <c r="T37" s="11" t="n">
        <f aca="false">T$2 / RADIANS($A37)</f>
        <v>62.2068463284894</v>
      </c>
      <c r="U37" s="11" t="n">
        <f aca="false">U$2 / RADIANS($A37)</f>
        <v>65.4808908720941</v>
      </c>
    </row>
    <row r="38" customFormat="false" ht="15.75" hidden="false" customHeight="false" outlineLevel="0" collapsed="false">
      <c r="A38" s="2" t="n">
        <f aca="false">(ROW()-2)*0.05</f>
        <v>1.8</v>
      </c>
      <c r="B38" s="11" t="n">
        <f aca="false">B$2 / RADIANS($A38)</f>
        <v>3.18309886183791</v>
      </c>
      <c r="C38" s="11" t="n">
        <f aca="false">C$2 / RADIANS($A38)</f>
        <v>6.36619772367581</v>
      </c>
      <c r="D38" s="11" t="n">
        <f aca="false">D$2 / RADIANS($A38)</f>
        <v>9.54929658551372</v>
      </c>
      <c r="E38" s="11" t="n">
        <f aca="false">E$2 / RADIANS($A38)</f>
        <v>12.7323954473516</v>
      </c>
      <c r="F38" s="11" t="n">
        <f aca="false">F$2 / RADIANS($A38)</f>
        <v>15.9154943091895</v>
      </c>
      <c r="G38" s="11" t="n">
        <f aca="false">G$2 / RADIANS($A38)</f>
        <v>19.0985931710274</v>
      </c>
      <c r="H38" s="11" t="n">
        <f aca="false">H$2 / RADIANS($A38)</f>
        <v>22.2816920328653</v>
      </c>
      <c r="I38" s="11" t="n">
        <f aca="false">I$2 / RADIANS($A38)</f>
        <v>25.4647908947033</v>
      </c>
      <c r="J38" s="11" t="n">
        <f aca="false">J$2 / RADIANS($A38)</f>
        <v>28.6478897565412</v>
      </c>
      <c r="K38" s="11" t="n">
        <f aca="false">K$2 / RADIANS($A38)</f>
        <v>31.8309886183791</v>
      </c>
      <c r="L38" s="11" t="n">
        <f aca="false">L$2 / RADIANS($A38)</f>
        <v>35.014087480217</v>
      </c>
      <c r="M38" s="11" t="n">
        <f aca="false">M$2 / RADIANS($A38)</f>
        <v>38.1971863420549</v>
      </c>
      <c r="N38" s="11" t="n">
        <f aca="false">N$2 / RADIANS($A38)</f>
        <v>41.3802852038928</v>
      </c>
      <c r="O38" s="15" t="n">
        <f aca="false">O$2 / RADIANS($A38)</f>
        <v>44.5633840657307</v>
      </c>
      <c r="P38" s="11" t="n">
        <f aca="false">P$2 / RADIANS($A38)</f>
        <v>47.7464829275686</v>
      </c>
      <c r="Q38" s="11" t="n">
        <f aca="false">Q$2 / RADIANS($A38)</f>
        <v>50.9295817894065</v>
      </c>
      <c r="R38" s="11" t="n">
        <f aca="false">R$2 / RADIANS($A38)</f>
        <v>54.1126806512444</v>
      </c>
      <c r="S38" s="11" t="n">
        <f aca="false">S$2 / RADIANS($A38)</f>
        <v>57.2957795130823</v>
      </c>
      <c r="T38" s="11" t="n">
        <f aca="false">T$2 / RADIANS($A38)</f>
        <v>60.4788783749202</v>
      </c>
      <c r="U38" s="11" t="n">
        <f aca="false">U$2 / RADIANS($A38)</f>
        <v>63.6619772367581</v>
      </c>
    </row>
    <row r="39" customFormat="false" ht="15.75" hidden="false" customHeight="false" outlineLevel="0" collapsed="false">
      <c r="A39" s="2" t="n">
        <f aca="false">(ROW()-2)*0.05</f>
        <v>1.85</v>
      </c>
      <c r="B39" s="11" t="n">
        <f aca="false">B$2 / RADIANS($A39)</f>
        <v>3.09706916286931</v>
      </c>
      <c r="C39" s="11" t="n">
        <f aca="false">C$2 / RADIANS($A39)</f>
        <v>6.19413832573863</v>
      </c>
      <c r="D39" s="11" t="n">
        <f aca="false">D$2 / RADIANS($A39)</f>
        <v>9.29120748860795</v>
      </c>
      <c r="E39" s="11" t="n">
        <f aca="false">E$2 / RADIANS($A39)</f>
        <v>12.3882766514773</v>
      </c>
      <c r="F39" s="11" t="n">
        <f aca="false">F$2 / RADIANS($A39)</f>
        <v>15.4853458143466</v>
      </c>
      <c r="G39" s="11" t="n">
        <f aca="false">G$2 / RADIANS($A39)</f>
        <v>18.5824149772159</v>
      </c>
      <c r="H39" s="11" t="n">
        <f aca="false">H$2 / RADIANS($A39)</f>
        <v>21.6794841400852</v>
      </c>
      <c r="I39" s="11" t="n">
        <f aca="false">I$2 / RADIANS($A39)</f>
        <v>24.7765533029545</v>
      </c>
      <c r="J39" s="11" t="n">
        <f aca="false">J$2 / RADIANS($A39)</f>
        <v>27.8736224658238</v>
      </c>
      <c r="K39" s="11" t="n">
        <f aca="false">K$2 / RADIANS($A39)</f>
        <v>30.9706916286931</v>
      </c>
      <c r="L39" s="11" t="n">
        <f aca="false">L$2 / RADIANS($A39)</f>
        <v>34.0677607915625</v>
      </c>
      <c r="M39" s="11" t="n">
        <f aca="false">M$2 / RADIANS($A39)</f>
        <v>37.1648299544318</v>
      </c>
      <c r="N39" s="11" t="n">
        <f aca="false">N$2 / RADIANS($A39)</f>
        <v>40.2618991173011</v>
      </c>
      <c r="O39" s="11" t="n">
        <f aca="false">O$2 / RADIANS($A39)</f>
        <v>43.3589682801704</v>
      </c>
      <c r="P39" s="11" t="n">
        <f aca="false">P$2 / RADIANS($A39)</f>
        <v>46.4560374430397</v>
      </c>
      <c r="Q39" s="11" t="n">
        <f aca="false">Q$2 / RADIANS($A39)</f>
        <v>49.553106605909</v>
      </c>
      <c r="R39" s="11" t="n">
        <f aca="false">R$2 / RADIANS($A39)</f>
        <v>52.6501757687784</v>
      </c>
      <c r="S39" s="11" t="n">
        <f aca="false">S$2 / RADIANS($A39)</f>
        <v>55.7472449316477</v>
      </c>
      <c r="T39" s="11" t="n">
        <f aca="false">T$2 / RADIANS($A39)</f>
        <v>58.844314094517</v>
      </c>
      <c r="U39" s="11" t="n">
        <f aca="false">U$2 / RADIANS($A39)</f>
        <v>61.9413832573863</v>
      </c>
    </row>
    <row r="40" customFormat="false" ht="15.75" hidden="false" customHeight="false" outlineLevel="0" collapsed="false">
      <c r="A40" s="2" t="n">
        <f aca="false">(ROW()-2)*0.05</f>
        <v>1.9</v>
      </c>
      <c r="B40" s="11" t="n">
        <f aca="false">B$2 / RADIANS($A40)</f>
        <v>3.01556734279381</v>
      </c>
      <c r="C40" s="11" t="n">
        <f aca="false">C$2 / RADIANS($A40)</f>
        <v>6.03113468558761</v>
      </c>
      <c r="D40" s="11" t="n">
        <f aca="false">D$2 / RADIANS($A40)</f>
        <v>9.04670202838142</v>
      </c>
      <c r="E40" s="11" t="n">
        <f aca="false">E$2 / RADIANS($A40)</f>
        <v>12.0622693711752</v>
      </c>
      <c r="F40" s="11" t="n">
        <f aca="false">F$2 / RADIANS($A40)</f>
        <v>15.077836713969</v>
      </c>
      <c r="G40" s="11" t="n">
        <f aca="false">G$2 / RADIANS($A40)</f>
        <v>18.0934040567628</v>
      </c>
      <c r="H40" s="11" t="n">
        <f aca="false">H$2 / RADIANS($A40)</f>
        <v>21.1089713995566</v>
      </c>
      <c r="I40" s="11" t="n">
        <f aca="false">I$2 / RADIANS($A40)</f>
        <v>24.1245387423505</v>
      </c>
      <c r="J40" s="11" t="n">
        <f aca="false">J$2 / RADIANS($A40)</f>
        <v>27.1401060851443</v>
      </c>
      <c r="K40" s="11" t="n">
        <f aca="false">K$2 / RADIANS($A40)</f>
        <v>30.1556734279381</v>
      </c>
      <c r="L40" s="11" t="n">
        <f aca="false">L$2 / RADIANS($A40)</f>
        <v>33.1712407707319</v>
      </c>
      <c r="M40" s="11" t="n">
        <f aca="false">M$2 / RADIANS($A40)</f>
        <v>36.1868081135257</v>
      </c>
      <c r="N40" s="11" t="n">
        <f aca="false">N$2 / RADIANS($A40)</f>
        <v>39.2023754563195</v>
      </c>
      <c r="O40" s="11" t="n">
        <f aca="false">O$2 / RADIANS($A40)</f>
        <v>42.2179427991133</v>
      </c>
      <c r="P40" s="11" t="n">
        <f aca="false">P$2 / RADIANS($A40)</f>
        <v>45.2335101419071</v>
      </c>
      <c r="Q40" s="11" t="n">
        <f aca="false">Q$2 / RADIANS($A40)</f>
        <v>48.2490774847009</v>
      </c>
      <c r="R40" s="11" t="n">
        <f aca="false">R$2 / RADIANS($A40)</f>
        <v>51.2646448274947</v>
      </c>
      <c r="S40" s="11" t="n">
        <f aca="false">S$2 / RADIANS($A40)</f>
        <v>54.2802121702885</v>
      </c>
      <c r="T40" s="11" t="n">
        <f aca="false">T$2 / RADIANS($A40)</f>
        <v>57.2957795130823</v>
      </c>
      <c r="U40" s="11" t="n">
        <f aca="false">U$2 / RADIANS($A40)</f>
        <v>60.3113468558761</v>
      </c>
    </row>
    <row r="41" customFormat="false" ht="15.75" hidden="false" customHeight="false" outlineLevel="0" collapsed="false">
      <c r="A41" s="2" t="n">
        <f aca="false">(ROW()-2)*0.05</f>
        <v>1.95</v>
      </c>
      <c r="B41" s="11" t="n">
        <f aca="false">B$2 / RADIANS($A41)</f>
        <v>2.93824510323499</v>
      </c>
      <c r="C41" s="11" t="n">
        <f aca="false">C$2 / RADIANS($A41)</f>
        <v>5.87649020646998</v>
      </c>
      <c r="D41" s="11" t="n">
        <f aca="false">D$2 / RADIANS($A41)</f>
        <v>8.81473530970497</v>
      </c>
      <c r="E41" s="11" t="n">
        <f aca="false">E$2 / RADIANS($A41)</f>
        <v>11.75298041294</v>
      </c>
      <c r="F41" s="11" t="n">
        <f aca="false">F$2 / RADIANS($A41)</f>
        <v>14.691225516175</v>
      </c>
      <c r="G41" s="11" t="n">
        <f aca="false">G$2 / RADIANS($A41)</f>
        <v>17.6294706194099</v>
      </c>
      <c r="H41" s="11" t="n">
        <f aca="false">H$2 / RADIANS($A41)</f>
        <v>20.5677157226449</v>
      </c>
      <c r="I41" s="11" t="n">
        <f aca="false">I$2 / RADIANS($A41)</f>
        <v>23.5059608258799</v>
      </c>
      <c r="J41" s="11" t="n">
        <f aca="false">J$2 / RADIANS($A41)</f>
        <v>26.4442059291149</v>
      </c>
      <c r="K41" s="11" t="n">
        <f aca="false">K$2 / RADIANS($A41)</f>
        <v>29.3824510323499</v>
      </c>
      <c r="L41" s="11" t="n">
        <f aca="false">L$2 / RADIANS($A41)</f>
        <v>32.3206961355849</v>
      </c>
      <c r="M41" s="11" t="n">
        <f aca="false">M$2 / RADIANS($A41)</f>
        <v>35.2589412388199</v>
      </c>
      <c r="N41" s="11" t="n">
        <f aca="false">N$2 / RADIANS($A41)</f>
        <v>38.1971863420549</v>
      </c>
      <c r="O41" s="11" t="n">
        <f aca="false">O$2 / RADIANS($A41)</f>
        <v>41.1354314452899</v>
      </c>
      <c r="P41" s="11" t="n">
        <f aca="false">P$2 / RADIANS($A41)</f>
        <v>44.0736765485249</v>
      </c>
      <c r="Q41" s="11" t="n">
        <f aca="false">Q$2 / RADIANS($A41)</f>
        <v>47.0119216517599</v>
      </c>
      <c r="R41" s="11" t="n">
        <f aca="false">R$2 / RADIANS($A41)</f>
        <v>49.9501667549949</v>
      </c>
      <c r="S41" s="11" t="n">
        <f aca="false">S$2 / RADIANS($A41)</f>
        <v>52.8884118582298</v>
      </c>
      <c r="T41" s="11" t="n">
        <f aca="false">T$2 / RADIANS($A41)</f>
        <v>55.8266569614648</v>
      </c>
      <c r="U41" s="11" t="n">
        <f aca="false">U$2 / RADIANS($A41)</f>
        <v>58.7649020646998</v>
      </c>
    </row>
    <row r="42" customFormat="false" ht="15.75" hidden="false" customHeight="false" outlineLevel="0" collapsed="false">
      <c r="A42" s="2" t="n">
        <f aca="false">(ROW()-2)*0.05</f>
        <v>2</v>
      </c>
      <c r="B42" s="11" t="n">
        <f aca="false">B$2 / RADIANS($A42)</f>
        <v>2.86478897565412</v>
      </c>
      <c r="C42" s="11" t="n">
        <f aca="false">C$2 / RADIANS($A42)</f>
        <v>5.72957795130823</v>
      </c>
      <c r="D42" s="11" t="n">
        <f aca="false">D$2 / RADIANS($A42)</f>
        <v>8.59436692696235</v>
      </c>
      <c r="E42" s="11" t="n">
        <f aca="false">E$2 / RADIANS($A42)</f>
        <v>11.4591559026165</v>
      </c>
      <c r="F42" s="11" t="n">
        <f aca="false">F$2 / RADIANS($A42)</f>
        <v>14.3239448782706</v>
      </c>
      <c r="G42" s="11" t="n">
        <f aca="false">G$2 / RADIANS($A42)</f>
        <v>17.1887338539247</v>
      </c>
      <c r="H42" s="11" t="n">
        <f aca="false">H$2 / RADIANS($A42)</f>
        <v>20.0535228295788</v>
      </c>
      <c r="I42" s="11" t="n">
        <f aca="false">I$2 / RADIANS($A42)</f>
        <v>22.9183118052329</v>
      </c>
      <c r="J42" s="11" t="n">
        <f aca="false">J$2 / RADIANS($A42)</f>
        <v>25.783100780887</v>
      </c>
      <c r="K42" s="11" t="n">
        <f aca="false">K$2 / RADIANS($A42)</f>
        <v>28.6478897565412</v>
      </c>
      <c r="L42" s="11" t="n">
        <f aca="false">L$2 / RADIANS($A42)</f>
        <v>31.5126787321953</v>
      </c>
      <c r="M42" s="11" t="n">
        <f aca="false">M$2 / RADIANS($A42)</f>
        <v>34.3774677078494</v>
      </c>
      <c r="N42" s="11" t="n">
        <f aca="false">N$2 / RADIANS($A42)</f>
        <v>37.2422566835035</v>
      </c>
      <c r="O42" s="11" t="n">
        <f aca="false">O$2 / RADIANS($A42)</f>
        <v>40.1070456591576</v>
      </c>
      <c r="P42" s="11" t="n">
        <f aca="false">P$2 / RADIANS($A42)</f>
        <v>42.9718346348117</v>
      </c>
      <c r="Q42" s="11" t="n">
        <f aca="false">Q$2 / RADIANS($A42)</f>
        <v>45.8366236104659</v>
      </c>
      <c r="R42" s="11" t="n">
        <f aca="false">R$2 / RADIANS($A42)</f>
        <v>48.70141258612</v>
      </c>
      <c r="S42" s="11" t="n">
        <f aca="false">S$2 / RADIANS($A42)</f>
        <v>51.5662015617741</v>
      </c>
      <c r="T42" s="11" t="n">
        <f aca="false">T$2 / RADIANS($A42)</f>
        <v>54.4309905374282</v>
      </c>
      <c r="U42" s="11" t="n">
        <f aca="false">U$2 / RADIANS($A42)</f>
        <v>57.2957795130823</v>
      </c>
    </row>
    <row r="43" customFormat="false" ht="15.75" hidden="false" customHeight="false" outlineLevel="0" collapsed="false">
      <c r="A43" s="2" t="n">
        <f aca="false">(ROW()-2)*0.05</f>
        <v>2.05</v>
      </c>
      <c r="B43" s="11" t="n">
        <f aca="false">B$2 / RADIANS($A43)</f>
        <v>2.79491607380889</v>
      </c>
      <c r="C43" s="11" t="n">
        <f aca="false">C$2 / RADIANS($A43)</f>
        <v>5.58983214761779</v>
      </c>
      <c r="D43" s="11" t="n">
        <f aca="false">D$2 / RADIANS($A43)</f>
        <v>8.38474822142668</v>
      </c>
      <c r="E43" s="11" t="n">
        <f aca="false">E$2 / RADIANS($A43)</f>
        <v>11.1796642952356</v>
      </c>
      <c r="F43" s="11" t="n">
        <f aca="false">F$2 / RADIANS($A43)</f>
        <v>13.9745803690445</v>
      </c>
      <c r="G43" s="11" t="n">
        <f aca="false">G$2 / RADIANS($A43)</f>
        <v>16.7694964428534</v>
      </c>
      <c r="H43" s="11" t="n">
        <f aca="false">H$2 / RADIANS($A43)</f>
        <v>19.5644125166623</v>
      </c>
      <c r="I43" s="11" t="n">
        <f aca="false">I$2 / RADIANS($A43)</f>
        <v>22.3593285904711</v>
      </c>
      <c r="J43" s="11" t="n">
        <f aca="false">J$2 / RADIANS($A43)</f>
        <v>25.15424466428</v>
      </c>
      <c r="K43" s="11" t="n">
        <f aca="false">K$2 / RADIANS($A43)</f>
        <v>27.9491607380889</v>
      </c>
      <c r="L43" s="11" t="n">
        <f aca="false">L$2 / RADIANS($A43)</f>
        <v>30.7440768118978</v>
      </c>
      <c r="M43" s="11" t="n">
        <f aca="false">M$2 / RADIANS($A43)</f>
        <v>33.5389928857067</v>
      </c>
      <c r="N43" s="11" t="n">
        <f aca="false">N$2 / RADIANS($A43)</f>
        <v>36.3339089595156</v>
      </c>
      <c r="O43" s="11" t="n">
        <f aca="false">O$2 / RADIANS($A43)</f>
        <v>39.1288250333245</v>
      </c>
      <c r="P43" s="11" t="n">
        <f aca="false">P$2 / RADIANS($A43)</f>
        <v>41.9237411071334</v>
      </c>
      <c r="Q43" s="11" t="n">
        <f aca="false">Q$2 / RADIANS($A43)</f>
        <v>44.7186571809423</v>
      </c>
      <c r="R43" s="11" t="n">
        <f aca="false">R$2 / RADIANS($A43)</f>
        <v>47.5135732547512</v>
      </c>
      <c r="S43" s="11" t="n">
        <f aca="false">S$2 / RADIANS($A43)</f>
        <v>50.3084893285601</v>
      </c>
      <c r="T43" s="11" t="n">
        <f aca="false">T$2 / RADIANS($A43)</f>
        <v>53.103405402369</v>
      </c>
      <c r="U43" s="11" t="n">
        <f aca="false">U$2 / RADIANS($A43)</f>
        <v>55.8983214761779</v>
      </c>
    </row>
    <row r="44" customFormat="false" ht="15.75" hidden="false" customHeight="false" outlineLevel="0" collapsed="false">
      <c r="A44" s="2" t="n">
        <f aca="false">(ROW()-2)*0.05</f>
        <v>2.1</v>
      </c>
      <c r="B44" s="11" t="n">
        <f aca="false">B$2 / RADIANS($A44)</f>
        <v>2.72837045300392</v>
      </c>
      <c r="C44" s="11" t="n">
        <f aca="false">C$2 / RADIANS($A44)</f>
        <v>5.45674090600784</v>
      </c>
      <c r="D44" s="11" t="n">
        <f aca="false">D$2 / RADIANS($A44)</f>
        <v>8.18511135901176</v>
      </c>
      <c r="E44" s="11" t="n">
        <f aca="false">E$2 / RADIANS($A44)</f>
        <v>10.9134818120157</v>
      </c>
      <c r="F44" s="11" t="n">
        <f aca="false">F$2 / RADIANS($A44)</f>
        <v>13.6418522650196</v>
      </c>
      <c r="G44" s="11" t="n">
        <f aca="false">G$2 / RADIANS($A44)</f>
        <v>16.3702227180235</v>
      </c>
      <c r="H44" s="11" t="n">
        <f aca="false">H$2 / RADIANS($A44)</f>
        <v>19.0985931710274</v>
      </c>
      <c r="I44" s="11" t="n">
        <f aca="false">I$2 / RADIANS($A44)</f>
        <v>21.8269636240314</v>
      </c>
      <c r="J44" s="11" t="n">
        <f aca="false">J$2 / RADIANS($A44)</f>
        <v>24.5553340770353</v>
      </c>
      <c r="K44" s="11" t="n">
        <f aca="false">K$2 / RADIANS($A44)</f>
        <v>27.2837045300392</v>
      </c>
      <c r="L44" s="11" t="n">
        <f aca="false">L$2 / RADIANS($A44)</f>
        <v>30.0120749830431</v>
      </c>
      <c r="M44" s="11" t="n">
        <f aca="false">M$2 / RADIANS($A44)</f>
        <v>32.7404454360471</v>
      </c>
      <c r="N44" s="11" t="n">
        <f aca="false">N$2 / RADIANS($A44)</f>
        <v>35.468815889051</v>
      </c>
      <c r="O44" s="11" t="n">
        <f aca="false">O$2 / RADIANS($A44)</f>
        <v>38.1971863420549</v>
      </c>
      <c r="P44" s="11" t="n">
        <f aca="false">P$2 / RADIANS($A44)</f>
        <v>40.9255567950588</v>
      </c>
      <c r="Q44" s="11" t="n">
        <f aca="false">Q$2 / RADIANS($A44)</f>
        <v>43.6539272480627</v>
      </c>
      <c r="R44" s="11" t="n">
        <f aca="false">R$2 / RADIANS($A44)</f>
        <v>46.3822977010666</v>
      </c>
      <c r="S44" s="11" t="n">
        <f aca="false">S$2 / RADIANS($A44)</f>
        <v>49.1106681540706</v>
      </c>
      <c r="T44" s="11" t="n">
        <f aca="false">T$2 / RADIANS($A44)</f>
        <v>51.8390386070745</v>
      </c>
      <c r="U44" s="11" t="n">
        <f aca="false">U$2 / RADIANS($A44)</f>
        <v>54.5674090600784</v>
      </c>
    </row>
    <row r="45" customFormat="false" ht="15.75" hidden="false" customHeight="false" outlineLevel="0" collapsed="false">
      <c r="A45" s="2" t="n">
        <f aca="false">(ROW()-2)*0.05</f>
        <v>2.15</v>
      </c>
      <c r="B45" s="11" t="n">
        <f aca="false">B$2 / RADIANS($A45)</f>
        <v>2.66491997735267</v>
      </c>
      <c r="C45" s="11" t="n">
        <f aca="false">C$2 / RADIANS($A45)</f>
        <v>5.32983995470533</v>
      </c>
      <c r="D45" s="11" t="n">
        <f aca="false">D$2 / RADIANS($A45)</f>
        <v>7.994759932058</v>
      </c>
      <c r="E45" s="11" t="n">
        <f aca="false">E$2 / RADIANS($A45)</f>
        <v>10.6596799094107</v>
      </c>
      <c r="F45" s="11" t="n">
        <f aca="false">F$2 / RADIANS($A45)</f>
        <v>13.3245998867633</v>
      </c>
      <c r="G45" s="11" t="n">
        <f aca="false">G$2 / RADIANS($A45)</f>
        <v>15.989519864116</v>
      </c>
      <c r="H45" s="11" t="n">
        <f aca="false">H$2 / RADIANS($A45)</f>
        <v>18.6544398414687</v>
      </c>
      <c r="I45" s="11" t="n">
        <f aca="false">I$2 / RADIANS($A45)</f>
        <v>21.3193598188213</v>
      </c>
      <c r="J45" s="11" t="n">
        <f aca="false">J$2 / RADIANS($A45)</f>
        <v>23.984279796174</v>
      </c>
      <c r="K45" s="11" t="n">
        <f aca="false">K$2 / RADIANS($A45)</f>
        <v>26.6491997735267</v>
      </c>
      <c r="L45" s="11" t="n">
        <f aca="false">L$2 / RADIANS($A45)</f>
        <v>29.3141197508793</v>
      </c>
      <c r="M45" s="11" t="n">
        <f aca="false">M$2 / RADIANS($A45)</f>
        <v>31.979039728232</v>
      </c>
      <c r="N45" s="11" t="n">
        <f aca="false">N$2 / RADIANS($A45)</f>
        <v>34.6439597055847</v>
      </c>
      <c r="O45" s="11" t="n">
        <f aca="false">O$2 / RADIANS($A45)</f>
        <v>37.3088796829373</v>
      </c>
      <c r="P45" s="11" t="n">
        <f aca="false">P$2 / RADIANS($A45)</f>
        <v>39.97379966029</v>
      </c>
      <c r="Q45" s="11" t="n">
        <f aca="false">Q$2 / RADIANS($A45)</f>
        <v>42.6387196376427</v>
      </c>
      <c r="R45" s="11" t="n">
        <f aca="false">R$2 / RADIANS($A45)</f>
        <v>45.3036396149953</v>
      </c>
      <c r="S45" s="11" t="n">
        <f aca="false">S$2 / RADIANS($A45)</f>
        <v>47.968559592348</v>
      </c>
      <c r="T45" s="11" t="n">
        <f aca="false">T$2 / RADIANS($A45)</f>
        <v>50.6334795697007</v>
      </c>
      <c r="U45" s="11" t="n">
        <f aca="false">U$2 / RADIANS($A45)</f>
        <v>53.2983995470533</v>
      </c>
    </row>
    <row r="46" customFormat="false" ht="15.75" hidden="false" customHeight="false" outlineLevel="0" collapsed="false">
      <c r="A46" s="2" t="n">
        <f aca="false">(ROW()-2)*0.05</f>
        <v>2.2</v>
      </c>
      <c r="B46" s="11" t="n">
        <f aca="false">B$2 / RADIANS($A46)</f>
        <v>2.60435361423102</v>
      </c>
      <c r="C46" s="11" t="n">
        <f aca="false">C$2 / RADIANS($A46)</f>
        <v>5.20870722846203</v>
      </c>
      <c r="D46" s="11" t="n">
        <f aca="false">D$2 / RADIANS($A46)</f>
        <v>7.81306084269305</v>
      </c>
      <c r="E46" s="11" t="n">
        <f aca="false">E$2 / RADIANS($A46)</f>
        <v>10.4174144569241</v>
      </c>
      <c r="F46" s="11" t="n">
        <f aca="false">F$2 / RADIANS($A46)</f>
        <v>13.0217680711551</v>
      </c>
      <c r="G46" s="11" t="n">
        <f aca="false">G$2 / RADIANS($A46)</f>
        <v>15.6261216853861</v>
      </c>
      <c r="H46" s="11" t="n">
        <f aca="false">H$2 / RADIANS($A46)</f>
        <v>18.2304752996171</v>
      </c>
      <c r="I46" s="11" t="n">
        <f aca="false">I$2 / RADIANS($A46)</f>
        <v>20.8348289138481</v>
      </c>
      <c r="J46" s="11" t="n">
        <f aca="false">J$2 / RADIANS($A46)</f>
        <v>23.4391825280791</v>
      </c>
      <c r="K46" s="11" t="n">
        <f aca="false">K$2 / RADIANS($A46)</f>
        <v>26.0435361423102</v>
      </c>
      <c r="L46" s="11" t="n">
        <f aca="false">L$2 / RADIANS($A46)</f>
        <v>28.6478897565412</v>
      </c>
      <c r="M46" s="11" t="n">
        <f aca="false">M$2 / RADIANS($A46)</f>
        <v>31.2522433707722</v>
      </c>
      <c r="N46" s="11" t="n">
        <f aca="false">N$2 / RADIANS($A46)</f>
        <v>33.8565969850032</v>
      </c>
      <c r="O46" s="11" t="n">
        <f aca="false">O$2 / RADIANS($A46)</f>
        <v>36.4609505992342</v>
      </c>
      <c r="P46" s="11" t="n">
        <f aca="false">P$2 / RADIANS($A46)</f>
        <v>39.0653042134652</v>
      </c>
      <c r="Q46" s="11" t="n">
        <f aca="false">Q$2 / RADIANS($A46)</f>
        <v>41.6696578276962</v>
      </c>
      <c r="R46" s="11" t="n">
        <f aca="false">R$2 / RADIANS($A46)</f>
        <v>44.2740114419273</v>
      </c>
      <c r="S46" s="11" t="n">
        <f aca="false">S$2 / RADIANS($A46)</f>
        <v>46.8783650561583</v>
      </c>
      <c r="T46" s="11" t="n">
        <f aca="false">T$2 / RADIANS($A46)</f>
        <v>49.4827186703893</v>
      </c>
      <c r="U46" s="11" t="n">
        <f aca="false">U$2 / RADIANS($A46)</f>
        <v>52.0870722846203</v>
      </c>
    </row>
    <row r="47" customFormat="false" ht="15.75" hidden="false" customHeight="false" outlineLevel="0" collapsed="false">
      <c r="A47" s="2" t="n">
        <f aca="false">(ROW()-2)*0.05</f>
        <v>2.25</v>
      </c>
      <c r="B47" s="11" t="n">
        <f aca="false">B$2 / RADIANS($A47)</f>
        <v>2.54647908947033</v>
      </c>
      <c r="C47" s="11" t="n">
        <f aca="false">C$2 / RADIANS($A47)</f>
        <v>5.09295817894065</v>
      </c>
      <c r="D47" s="11" t="n">
        <f aca="false">D$2 / RADIANS($A47)</f>
        <v>7.63943726841098</v>
      </c>
      <c r="E47" s="11" t="n">
        <f aca="false">E$2 / RADIANS($A47)</f>
        <v>10.1859163578813</v>
      </c>
      <c r="F47" s="11" t="n">
        <f aca="false">F$2 / RADIANS($A47)</f>
        <v>12.7323954473516</v>
      </c>
      <c r="G47" s="11" t="n">
        <f aca="false">G$2 / RADIANS($A47)</f>
        <v>15.278874536822</v>
      </c>
      <c r="H47" s="11" t="n">
        <f aca="false">H$2 / RADIANS($A47)</f>
        <v>17.8253536262923</v>
      </c>
      <c r="I47" s="11" t="n">
        <f aca="false">I$2 / RADIANS($A47)</f>
        <v>20.3718327157626</v>
      </c>
      <c r="J47" s="11" t="n">
        <f aca="false">J$2 / RADIANS($A47)</f>
        <v>22.9183118052329</v>
      </c>
      <c r="K47" s="11" t="n">
        <f aca="false">K$2 / RADIANS($A47)</f>
        <v>25.4647908947033</v>
      </c>
      <c r="L47" s="11" t="n">
        <f aca="false">L$2 / RADIANS($A47)</f>
        <v>28.0112699841736</v>
      </c>
      <c r="M47" s="11" t="n">
        <f aca="false">M$2 / RADIANS($A47)</f>
        <v>30.5577490736439</v>
      </c>
      <c r="N47" s="11" t="n">
        <f aca="false">N$2 / RADIANS($A47)</f>
        <v>33.1042281631142</v>
      </c>
      <c r="O47" s="11" t="n">
        <f aca="false">O$2 / RADIANS($A47)</f>
        <v>35.6507072525846</v>
      </c>
      <c r="P47" s="11" t="n">
        <f aca="false">P$2 / RADIANS($A47)</f>
        <v>38.1971863420549</v>
      </c>
      <c r="Q47" s="11" t="n">
        <f aca="false">Q$2 / RADIANS($A47)</f>
        <v>40.7436654315252</v>
      </c>
      <c r="R47" s="11" t="n">
        <f aca="false">R$2 / RADIANS($A47)</f>
        <v>43.2901445209955</v>
      </c>
      <c r="S47" s="11" t="n">
        <f aca="false">S$2 / RADIANS($A47)</f>
        <v>45.8366236104659</v>
      </c>
      <c r="T47" s="11" t="n">
        <f aca="false">T$2 / RADIANS($A47)</f>
        <v>48.3831026999362</v>
      </c>
      <c r="U47" s="11" t="n">
        <f aca="false">U$2 / RADIANS($A47)</f>
        <v>50.9295817894065</v>
      </c>
    </row>
    <row r="48" customFormat="false" ht="15.75" hidden="false" customHeight="false" outlineLevel="0" collapsed="false">
      <c r="A48" s="2" t="n">
        <f aca="false">(ROW()-2)*0.05</f>
        <v>2.3</v>
      </c>
      <c r="B48" s="11" t="n">
        <f aca="false">B$2 / RADIANS($A48)</f>
        <v>2.49112084839488</v>
      </c>
      <c r="C48" s="11" t="n">
        <f aca="false">C$2 / RADIANS($A48)</f>
        <v>4.98224169678977</v>
      </c>
      <c r="D48" s="11" t="n">
        <f aca="false">D$2 / RADIANS($A48)</f>
        <v>7.47336254518465</v>
      </c>
      <c r="E48" s="11" t="n">
        <f aca="false">E$2 / RADIANS($A48)</f>
        <v>9.96448339357954</v>
      </c>
      <c r="F48" s="11" t="n">
        <f aca="false">F$2 / RADIANS($A48)</f>
        <v>12.4556042419744</v>
      </c>
      <c r="G48" s="11" t="n">
        <f aca="false">G$2 / RADIANS($A48)</f>
        <v>14.9467250903693</v>
      </c>
      <c r="H48" s="11" t="n">
        <f aca="false">H$2 / RADIANS($A48)</f>
        <v>17.4378459387642</v>
      </c>
      <c r="I48" s="11" t="n">
        <f aca="false">I$2 / RADIANS($A48)</f>
        <v>19.9289667871591</v>
      </c>
      <c r="J48" s="11" t="n">
        <f aca="false">J$2 / RADIANS($A48)</f>
        <v>22.420087635554</v>
      </c>
      <c r="K48" s="11" t="n">
        <f aca="false">K$2 / RADIANS($A48)</f>
        <v>24.9112084839488</v>
      </c>
      <c r="L48" s="11" t="n">
        <f aca="false">L$2 / RADIANS($A48)</f>
        <v>27.4023293323437</v>
      </c>
      <c r="M48" s="11" t="n">
        <f aca="false">M$2 / RADIANS($A48)</f>
        <v>29.8934501807386</v>
      </c>
      <c r="N48" s="11" t="n">
        <f aca="false">N$2 / RADIANS($A48)</f>
        <v>32.3845710291335</v>
      </c>
      <c r="O48" s="11" t="n">
        <f aca="false">O$2 / RADIANS($A48)</f>
        <v>34.8756918775284</v>
      </c>
      <c r="P48" s="11" t="n">
        <f aca="false">P$2 / RADIANS($A48)</f>
        <v>37.3668127259233</v>
      </c>
      <c r="Q48" s="11" t="n">
        <f aca="false">Q$2 / RADIANS($A48)</f>
        <v>39.8579335743181</v>
      </c>
      <c r="R48" s="11" t="n">
        <f aca="false">R$2 / RADIANS($A48)</f>
        <v>42.349054422713</v>
      </c>
      <c r="S48" s="11" t="n">
        <f aca="false">S$2 / RADIANS($A48)</f>
        <v>44.8401752711079</v>
      </c>
      <c r="T48" s="11" t="n">
        <f aca="false">T$2 / RADIANS($A48)</f>
        <v>47.3312961195028</v>
      </c>
      <c r="U48" s="11" t="n">
        <f aca="false">U$2 / RADIANS($A48)</f>
        <v>49.8224169678977</v>
      </c>
    </row>
    <row r="49" customFormat="false" ht="15.75" hidden="false" customHeight="false" outlineLevel="0" collapsed="false">
      <c r="A49" s="2" t="n">
        <f aca="false">(ROW()-2)*0.05</f>
        <v>2.35</v>
      </c>
      <c r="B49" s="11" t="n">
        <f aca="false">B$2 / RADIANS($A49)</f>
        <v>2.43811827715244</v>
      </c>
      <c r="C49" s="11" t="n">
        <f aca="false">C$2 / RADIANS($A49)</f>
        <v>4.87623655430488</v>
      </c>
      <c r="D49" s="11" t="n">
        <f aca="false">D$2 / RADIANS($A49)</f>
        <v>7.31435483145732</v>
      </c>
      <c r="E49" s="11" t="n">
        <f aca="false">E$2 / RADIANS($A49)</f>
        <v>9.75247310860976</v>
      </c>
      <c r="F49" s="11" t="n">
        <f aca="false">F$2 / RADIANS($A49)</f>
        <v>12.1905913857622</v>
      </c>
      <c r="G49" s="11" t="n">
        <f aca="false">G$2 / RADIANS($A49)</f>
        <v>14.6287096629146</v>
      </c>
      <c r="H49" s="11" t="n">
        <f aca="false">H$2 / RADIANS($A49)</f>
        <v>17.0668279400671</v>
      </c>
      <c r="I49" s="11" t="n">
        <f aca="false">I$2 / RADIANS($A49)</f>
        <v>19.5049462172195</v>
      </c>
      <c r="J49" s="11" t="n">
        <f aca="false">J$2 / RADIANS($A49)</f>
        <v>21.943064494372</v>
      </c>
      <c r="K49" s="11" t="n">
        <f aca="false">K$2 / RADIANS($A49)</f>
        <v>24.3811827715244</v>
      </c>
      <c r="L49" s="11" t="n">
        <f aca="false">L$2 / RADIANS($A49)</f>
        <v>26.8193010486768</v>
      </c>
      <c r="M49" s="11" t="n">
        <f aca="false">M$2 / RADIANS($A49)</f>
        <v>29.2574193258293</v>
      </c>
      <c r="N49" s="11" t="n">
        <f aca="false">N$2 / RADIANS($A49)</f>
        <v>31.6955376029817</v>
      </c>
      <c r="O49" s="11" t="n">
        <f aca="false">O$2 / RADIANS($A49)</f>
        <v>34.1336558801342</v>
      </c>
      <c r="P49" s="11" t="n">
        <f aca="false">P$2 / RADIANS($A49)</f>
        <v>36.5717741572866</v>
      </c>
      <c r="Q49" s="11" t="n">
        <f aca="false">Q$2 / RADIANS($A49)</f>
        <v>39.009892434439</v>
      </c>
      <c r="R49" s="11" t="n">
        <f aca="false">R$2 / RADIANS($A49)</f>
        <v>41.4480107115915</v>
      </c>
      <c r="S49" s="11" t="n">
        <f aca="false">S$2 / RADIANS($A49)</f>
        <v>43.8861289887439</v>
      </c>
      <c r="T49" s="11" t="n">
        <f aca="false">T$2 / RADIANS($A49)</f>
        <v>46.3242472658964</v>
      </c>
      <c r="U49" s="11" t="n">
        <f aca="false">U$2 / RADIANS($A49)</f>
        <v>48.7623655430488</v>
      </c>
    </row>
    <row r="50" customFormat="false" ht="15.75" hidden="false" customHeight="false" outlineLevel="0" collapsed="false">
      <c r="A50" s="2" t="n">
        <f aca="false">(ROW()-2)*0.05</f>
        <v>2.4</v>
      </c>
      <c r="B50" s="11" t="n">
        <f aca="false">B$2 / RADIANS($A50)</f>
        <v>2.38732414637843</v>
      </c>
      <c r="C50" s="11" t="n">
        <f aca="false">C$2 / RADIANS($A50)</f>
        <v>4.77464829275686</v>
      </c>
      <c r="D50" s="11" t="n">
        <f aca="false">D$2 / RADIANS($A50)</f>
        <v>7.16197243913529</v>
      </c>
      <c r="E50" s="11" t="n">
        <f aca="false">E$2 / RADIANS($A50)</f>
        <v>9.54929658551372</v>
      </c>
      <c r="F50" s="11" t="n">
        <f aca="false">F$2 / RADIANS($A50)</f>
        <v>11.9366207318921</v>
      </c>
      <c r="G50" s="11" t="n">
        <f aca="false">G$2 / RADIANS($A50)</f>
        <v>14.3239448782706</v>
      </c>
      <c r="H50" s="11" t="n">
        <f aca="false">H$2 / RADIANS($A50)</f>
        <v>16.711269024649</v>
      </c>
      <c r="I50" s="11" t="n">
        <f aca="false">I$2 / RADIANS($A50)</f>
        <v>19.0985931710274</v>
      </c>
      <c r="J50" s="11" t="n">
        <f aca="false">J$2 / RADIANS($A50)</f>
        <v>21.4859173174059</v>
      </c>
      <c r="K50" s="11" t="n">
        <f aca="false">K$2 / RADIANS($A50)</f>
        <v>23.8732414637843</v>
      </c>
      <c r="L50" s="11" t="n">
        <f aca="false">L$2 / RADIANS($A50)</f>
        <v>26.2605656101627</v>
      </c>
      <c r="M50" s="11" t="n">
        <f aca="false">M$2 / RADIANS($A50)</f>
        <v>28.6478897565412</v>
      </c>
      <c r="N50" s="11" t="n">
        <f aca="false">N$2 / RADIANS($A50)</f>
        <v>31.0352139029196</v>
      </c>
      <c r="O50" s="11" t="n">
        <f aca="false">O$2 / RADIANS($A50)</f>
        <v>33.422538049298</v>
      </c>
      <c r="P50" s="11" t="n">
        <f aca="false">P$2 / RADIANS($A50)</f>
        <v>35.8098621956764</v>
      </c>
      <c r="Q50" s="11" t="n">
        <f aca="false">Q$2 / RADIANS($A50)</f>
        <v>38.1971863420549</v>
      </c>
      <c r="R50" s="11" t="n">
        <f aca="false">R$2 / RADIANS($A50)</f>
        <v>40.5845104884333</v>
      </c>
      <c r="S50" s="11" t="n">
        <f aca="false">S$2 / RADIANS($A50)</f>
        <v>42.9718346348117</v>
      </c>
      <c r="T50" s="11" t="n">
        <f aca="false">T$2 / RADIANS($A50)</f>
        <v>45.3591587811902</v>
      </c>
      <c r="U50" s="11" t="n">
        <f aca="false">U$2 / RADIANS($A50)</f>
        <v>47.7464829275686</v>
      </c>
    </row>
    <row r="51" customFormat="false" ht="15.75" hidden="false" customHeight="false" outlineLevel="0" collapsed="false">
      <c r="A51" s="2" t="n">
        <f aca="false">(ROW()-2)*0.05</f>
        <v>2.45</v>
      </c>
      <c r="B51" s="11" t="n">
        <f aca="false">B$2 / RADIANS($A51)</f>
        <v>2.33860324543193</v>
      </c>
      <c r="C51" s="11" t="n">
        <f aca="false">C$2 / RADIANS($A51)</f>
        <v>4.67720649086386</v>
      </c>
      <c r="D51" s="11" t="n">
        <f aca="false">D$2 / RADIANS($A51)</f>
        <v>7.0158097362958</v>
      </c>
      <c r="E51" s="11" t="n">
        <f aca="false">E$2 / RADIANS($A51)</f>
        <v>9.35441298172773</v>
      </c>
      <c r="F51" s="11" t="n">
        <f aca="false">F$2 / RADIANS($A51)</f>
        <v>11.6930162271597</v>
      </c>
      <c r="G51" s="11" t="n">
        <f aca="false">G$2 / RADIANS($A51)</f>
        <v>14.0316194725916</v>
      </c>
      <c r="H51" s="11" t="n">
        <f aca="false">H$2 / RADIANS($A51)</f>
        <v>16.3702227180235</v>
      </c>
      <c r="I51" s="11" t="n">
        <f aca="false">I$2 / RADIANS($A51)</f>
        <v>18.7088259634555</v>
      </c>
      <c r="J51" s="11" t="n">
        <f aca="false">J$2 / RADIANS($A51)</f>
        <v>21.0474292088874</v>
      </c>
      <c r="K51" s="11" t="n">
        <f aca="false">K$2 / RADIANS($A51)</f>
        <v>23.3860324543193</v>
      </c>
      <c r="L51" s="11" t="n">
        <f aca="false">L$2 / RADIANS($A51)</f>
        <v>25.7246356997512</v>
      </c>
      <c r="M51" s="11" t="n">
        <f aca="false">M$2 / RADIANS($A51)</f>
        <v>28.0632389451832</v>
      </c>
      <c r="N51" s="11" t="n">
        <f aca="false">N$2 / RADIANS($A51)</f>
        <v>30.4018421906151</v>
      </c>
      <c r="O51" s="11" t="n">
        <f aca="false">O$2 / RADIANS($A51)</f>
        <v>32.740445436047</v>
      </c>
      <c r="P51" s="11" t="n">
        <f aca="false">P$2 / RADIANS($A51)</f>
        <v>35.079048681479</v>
      </c>
      <c r="Q51" s="11" t="n">
        <f aca="false">Q$2 / RADIANS($A51)</f>
        <v>37.4176519269109</v>
      </c>
      <c r="R51" s="11" t="n">
        <f aca="false">R$2 / RADIANS($A51)</f>
        <v>39.7562551723428</v>
      </c>
      <c r="S51" s="11" t="n">
        <f aca="false">S$2 / RADIANS($A51)</f>
        <v>42.0948584177748</v>
      </c>
      <c r="T51" s="11" t="n">
        <f aca="false">T$2 / RADIANS($A51)</f>
        <v>44.4334616632067</v>
      </c>
      <c r="U51" s="11" t="n">
        <f aca="false">U$2 / RADIANS($A51)</f>
        <v>46.7720649086386</v>
      </c>
    </row>
    <row r="52" customFormat="false" ht="15.75" hidden="false" customHeight="false" outlineLevel="0" collapsed="false">
      <c r="A52" s="2" t="n">
        <f aca="false">(ROW()-2)*0.05</f>
        <v>2.5</v>
      </c>
      <c r="B52" s="11" t="n">
        <f aca="false">B$2 / RADIANS($A52)</f>
        <v>2.29183118052329</v>
      </c>
      <c r="C52" s="11" t="n">
        <f aca="false">C$2 / RADIANS($A52)</f>
        <v>4.58366236104659</v>
      </c>
      <c r="D52" s="11" t="n">
        <f aca="false">D$2 / RADIANS($A52)</f>
        <v>6.87549354156988</v>
      </c>
      <c r="E52" s="11" t="n">
        <f aca="false">E$2 / RADIANS($A52)</f>
        <v>9.16732472209317</v>
      </c>
      <c r="F52" s="11" t="n">
        <f aca="false">F$2 / RADIANS($A52)</f>
        <v>11.4591559026165</v>
      </c>
      <c r="G52" s="11" t="n">
        <f aca="false">G$2 / RADIANS($A52)</f>
        <v>13.7509870831398</v>
      </c>
      <c r="H52" s="11" t="n">
        <f aca="false">H$2 / RADIANS($A52)</f>
        <v>16.0428182636631</v>
      </c>
      <c r="I52" s="11" t="n">
        <f aca="false">I$2 / RADIANS($A52)</f>
        <v>18.3346494441863</v>
      </c>
      <c r="J52" s="11" t="n">
        <f aca="false">J$2 / RADIANS($A52)</f>
        <v>20.6264806247096</v>
      </c>
      <c r="K52" s="11" t="n">
        <f aca="false">K$2 / RADIANS($A52)</f>
        <v>22.9183118052329</v>
      </c>
      <c r="L52" s="11" t="n">
        <f aca="false">L$2 / RADIANS($A52)</f>
        <v>25.2101429857562</v>
      </c>
      <c r="M52" s="11" t="n">
        <f aca="false">M$2 / RADIANS($A52)</f>
        <v>27.5019741662795</v>
      </c>
      <c r="N52" s="11" t="n">
        <f aca="false">N$2 / RADIANS($A52)</f>
        <v>29.7938053468028</v>
      </c>
      <c r="O52" s="11" t="n">
        <f aca="false">O$2 / RADIANS($A52)</f>
        <v>32.0856365273261</v>
      </c>
      <c r="P52" s="11" t="n">
        <f aca="false">P$2 / RADIANS($A52)</f>
        <v>34.3774677078494</v>
      </c>
      <c r="Q52" s="11" t="n">
        <f aca="false">Q$2 / RADIANS($A52)</f>
        <v>36.6692988883727</v>
      </c>
      <c r="R52" s="11" t="n">
        <f aca="false">R$2 / RADIANS($A52)</f>
        <v>38.961130068896</v>
      </c>
      <c r="S52" s="11" t="n">
        <f aca="false">S$2 / RADIANS($A52)</f>
        <v>41.2529612494193</v>
      </c>
      <c r="T52" s="11" t="n">
        <f aca="false">T$2 / RADIANS($A52)</f>
        <v>43.5447924299426</v>
      </c>
      <c r="U52" s="11" t="n">
        <f aca="false">U$2 / RADIANS($A52)</f>
        <v>45.8366236104659</v>
      </c>
    </row>
    <row r="53" customFormat="false" ht="15.75" hidden="false" customHeight="false" outlineLevel="0" collapsed="false">
      <c r="A53" s="2" t="n">
        <f aca="false">(ROW()-2)*0.05</f>
        <v>2.55</v>
      </c>
      <c r="B53" s="11" t="n">
        <f aca="false">B$2 / RADIANS($A53)</f>
        <v>2.24689331423852</v>
      </c>
      <c r="C53" s="11" t="n">
        <f aca="false">C$2 / RADIANS($A53)</f>
        <v>4.49378662847705</v>
      </c>
      <c r="D53" s="11" t="n">
        <f aca="false">D$2 / RADIANS($A53)</f>
        <v>6.74067994271557</v>
      </c>
      <c r="E53" s="11" t="n">
        <f aca="false">E$2 / RADIANS($A53)</f>
        <v>8.98757325695409</v>
      </c>
      <c r="F53" s="11" t="n">
        <f aca="false">F$2 / RADIANS($A53)</f>
        <v>11.2344665711926</v>
      </c>
      <c r="G53" s="11" t="n">
        <f aca="false">G$2 / RADIANS($A53)</f>
        <v>13.4813598854311</v>
      </c>
      <c r="H53" s="11" t="n">
        <f aca="false">H$2 / RADIANS($A53)</f>
        <v>15.7282531996697</v>
      </c>
      <c r="I53" s="11" t="n">
        <f aca="false">I$2 / RADIANS($A53)</f>
        <v>17.9751465139082</v>
      </c>
      <c r="J53" s="11" t="n">
        <f aca="false">J$2 / RADIANS($A53)</f>
        <v>20.2220398281467</v>
      </c>
      <c r="K53" s="11" t="n">
        <f aca="false">K$2 / RADIANS($A53)</f>
        <v>22.4689331423852</v>
      </c>
      <c r="L53" s="11" t="n">
        <f aca="false">L$2 / RADIANS($A53)</f>
        <v>24.7158264566238</v>
      </c>
      <c r="M53" s="11" t="n">
        <f aca="false">M$2 / RADIANS($A53)</f>
        <v>26.9627197708623</v>
      </c>
      <c r="N53" s="11" t="n">
        <f aca="false">N$2 / RADIANS($A53)</f>
        <v>29.2096130851008</v>
      </c>
      <c r="O53" s="11" t="n">
        <f aca="false">O$2 / RADIANS($A53)</f>
        <v>31.4565063993393</v>
      </c>
      <c r="P53" s="11" t="n">
        <f aca="false">P$2 / RADIANS($A53)</f>
        <v>33.7033997135778</v>
      </c>
      <c r="Q53" s="11" t="n">
        <f aca="false">Q$2 / RADIANS($A53)</f>
        <v>35.9502930278164</v>
      </c>
      <c r="R53" s="11" t="n">
        <f aca="false">R$2 / RADIANS($A53)</f>
        <v>38.1971863420549</v>
      </c>
      <c r="S53" s="11" t="n">
        <f aca="false">S$2 / RADIANS($A53)</f>
        <v>40.4440796562934</v>
      </c>
      <c r="T53" s="11" t="n">
        <f aca="false">T$2 / RADIANS($A53)</f>
        <v>42.6909729705319</v>
      </c>
      <c r="U53" s="11" t="n">
        <f aca="false">U$2 / RADIANS($A53)</f>
        <v>44.9378662847705</v>
      </c>
    </row>
    <row r="54" customFormat="false" ht="15.75" hidden="false" customHeight="false" outlineLevel="0" collapsed="false">
      <c r="A54" s="2" t="n">
        <f aca="false">(ROW()-2)*0.05</f>
        <v>2.6</v>
      </c>
      <c r="B54" s="11" t="n">
        <f aca="false">B$2 / RADIANS($A54)</f>
        <v>2.20368382742624</v>
      </c>
      <c r="C54" s="11" t="n">
        <f aca="false">C$2 / RADIANS($A54)</f>
        <v>4.40736765485249</v>
      </c>
      <c r="D54" s="11" t="n">
        <f aca="false">D$2 / RADIANS($A54)</f>
        <v>6.61105148227873</v>
      </c>
      <c r="E54" s="11" t="n">
        <f aca="false">E$2 / RADIANS($A54)</f>
        <v>8.81473530970497</v>
      </c>
      <c r="F54" s="11" t="n">
        <f aca="false">F$2 / RADIANS($A54)</f>
        <v>11.0184191371312</v>
      </c>
      <c r="G54" s="11" t="n">
        <f aca="false">G$2 / RADIANS($A54)</f>
        <v>13.2221029645575</v>
      </c>
      <c r="H54" s="11" t="n">
        <f aca="false">H$2 / RADIANS($A54)</f>
        <v>15.4257867919837</v>
      </c>
      <c r="I54" s="11" t="n">
        <f aca="false">I$2 / RADIANS($A54)</f>
        <v>17.6294706194099</v>
      </c>
      <c r="J54" s="11" t="n">
        <f aca="false">J$2 / RADIANS($A54)</f>
        <v>19.8331544468362</v>
      </c>
      <c r="K54" s="11" t="n">
        <f aca="false">K$2 / RADIANS($A54)</f>
        <v>22.0368382742624</v>
      </c>
      <c r="L54" s="11" t="n">
        <f aca="false">L$2 / RADIANS($A54)</f>
        <v>24.2405221016887</v>
      </c>
      <c r="M54" s="11" t="n">
        <f aca="false">M$2 / RADIANS($A54)</f>
        <v>26.4442059291149</v>
      </c>
      <c r="N54" s="11" t="n">
        <f aca="false">N$2 / RADIANS($A54)</f>
        <v>28.6478897565412</v>
      </c>
      <c r="O54" s="11" t="n">
        <f aca="false">O$2 / RADIANS($A54)</f>
        <v>30.8515735839674</v>
      </c>
      <c r="P54" s="11" t="n">
        <f aca="false">P$2 / RADIANS($A54)</f>
        <v>33.0552574113937</v>
      </c>
      <c r="Q54" s="11" t="n">
        <f aca="false">Q$2 / RADIANS($A54)</f>
        <v>35.2589412388199</v>
      </c>
      <c r="R54" s="11" t="n">
        <f aca="false">R$2 / RADIANS($A54)</f>
        <v>37.4626250662461</v>
      </c>
      <c r="S54" s="11" t="n">
        <f aca="false">S$2 / RADIANS($A54)</f>
        <v>39.6663088936724</v>
      </c>
      <c r="T54" s="11" t="n">
        <f aca="false">T$2 / RADIANS($A54)</f>
        <v>41.8699927210986</v>
      </c>
      <c r="U54" s="11" t="n">
        <f aca="false">U$2 / RADIANS($A54)</f>
        <v>44.0736765485249</v>
      </c>
    </row>
    <row r="55" customFormat="false" ht="15.75" hidden="false" customHeight="false" outlineLevel="0" collapsed="false">
      <c r="A55" s="2" t="n">
        <f aca="false">(ROW()-2)*0.05</f>
        <v>2.65</v>
      </c>
      <c r="B55" s="11" t="n">
        <f aca="false">B$2 / RADIANS($A55)</f>
        <v>2.16210488728613</v>
      </c>
      <c r="C55" s="11" t="n">
        <f aca="false">C$2 / RADIANS($A55)</f>
        <v>4.32420977457225</v>
      </c>
      <c r="D55" s="11" t="n">
        <f aca="false">D$2 / RADIANS($A55)</f>
        <v>6.48631466185838</v>
      </c>
      <c r="E55" s="11" t="n">
        <f aca="false">E$2 / RADIANS($A55)</f>
        <v>8.6484195491445</v>
      </c>
      <c r="F55" s="11" t="n">
        <f aca="false">F$2 / RADIANS($A55)</f>
        <v>10.8105244364306</v>
      </c>
      <c r="G55" s="11" t="n">
        <f aca="false">G$2 / RADIANS($A55)</f>
        <v>12.9726293237168</v>
      </c>
      <c r="H55" s="11" t="n">
        <f aca="false">H$2 / RADIANS($A55)</f>
        <v>15.1347342110029</v>
      </c>
      <c r="I55" s="11" t="n">
        <f aca="false">I$2 / RADIANS($A55)</f>
        <v>17.296839098289</v>
      </c>
      <c r="J55" s="11" t="n">
        <f aca="false">J$2 / RADIANS($A55)</f>
        <v>19.4589439855751</v>
      </c>
      <c r="K55" s="11" t="n">
        <f aca="false">K$2 / RADIANS($A55)</f>
        <v>21.6210488728613</v>
      </c>
      <c r="L55" s="11" t="n">
        <f aca="false">L$2 / RADIANS($A55)</f>
        <v>23.7831537601474</v>
      </c>
      <c r="M55" s="11" t="n">
        <f aca="false">M$2 / RADIANS($A55)</f>
        <v>25.9452586474335</v>
      </c>
      <c r="N55" s="11" t="n">
        <f aca="false">N$2 / RADIANS($A55)</f>
        <v>28.1073635347196</v>
      </c>
      <c r="O55" s="11" t="n">
        <f aca="false">O$2 / RADIANS($A55)</f>
        <v>30.2694684220058</v>
      </c>
      <c r="P55" s="11" t="n">
        <f aca="false">P$2 / RADIANS($A55)</f>
        <v>32.4315733092919</v>
      </c>
      <c r="Q55" s="11" t="n">
        <f aca="false">Q$2 / RADIANS($A55)</f>
        <v>34.593678196578</v>
      </c>
      <c r="R55" s="11" t="n">
        <f aca="false">R$2 / RADIANS($A55)</f>
        <v>36.7557830838641</v>
      </c>
      <c r="S55" s="11" t="n">
        <f aca="false">S$2 / RADIANS($A55)</f>
        <v>38.9178879711503</v>
      </c>
      <c r="T55" s="11" t="n">
        <f aca="false">T$2 / RADIANS($A55)</f>
        <v>41.0799928584364</v>
      </c>
      <c r="U55" s="11" t="n">
        <f aca="false">U$2 / RADIANS($A55)</f>
        <v>43.2420977457225</v>
      </c>
    </row>
    <row r="56" customFormat="false" ht="15.75" hidden="false" customHeight="false" outlineLevel="0" collapsed="false">
      <c r="A56" s="2" t="n">
        <f aca="false">(ROW()-2)*0.05</f>
        <v>2.7</v>
      </c>
      <c r="B56" s="11" t="n">
        <f aca="false">B$2 / RADIANS($A56)</f>
        <v>2.12206590789194</v>
      </c>
      <c r="C56" s="11" t="n">
        <f aca="false">C$2 / RADIANS($A56)</f>
        <v>4.24413181578388</v>
      </c>
      <c r="D56" s="11" t="n">
        <f aca="false">D$2 / RADIANS($A56)</f>
        <v>6.36619772367581</v>
      </c>
      <c r="E56" s="11" t="n">
        <f aca="false">E$2 / RADIANS($A56)</f>
        <v>8.48826363156775</v>
      </c>
      <c r="F56" s="11" t="n">
        <f aca="false">F$2 / RADIANS($A56)</f>
        <v>10.6103295394597</v>
      </c>
      <c r="G56" s="11" t="n">
        <f aca="false">G$2 / RADIANS($A56)</f>
        <v>12.7323954473516</v>
      </c>
      <c r="H56" s="11" t="n">
        <f aca="false">H$2 / RADIANS($A56)</f>
        <v>14.8544613552436</v>
      </c>
      <c r="I56" s="11" t="n">
        <f aca="false">I$2 / RADIANS($A56)</f>
        <v>16.9765272631355</v>
      </c>
      <c r="J56" s="11" t="n">
        <f aca="false">J$2 / RADIANS($A56)</f>
        <v>19.0985931710274</v>
      </c>
      <c r="K56" s="11" t="n">
        <f aca="false">K$2 / RADIANS($A56)</f>
        <v>21.2206590789194</v>
      </c>
      <c r="L56" s="11" t="n">
        <f aca="false">L$2 / RADIANS($A56)</f>
        <v>23.3427249868113</v>
      </c>
      <c r="M56" s="11" t="n">
        <f aca="false">M$2 / RADIANS($A56)</f>
        <v>25.4647908947033</v>
      </c>
      <c r="N56" s="11" t="n">
        <f aca="false">N$2 / RADIANS($A56)</f>
        <v>27.5868568025952</v>
      </c>
      <c r="O56" s="11" t="n">
        <f aca="false">O$2 / RADIANS($A56)</f>
        <v>29.7089227104871</v>
      </c>
      <c r="P56" s="11" t="n">
        <f aca="false">P$2 / RADIANS($A56)</f>
        <v>31.8309886183791</v>
      </c>
      <c r="Q56" s="11" t="n">
        <f aca="false">Q$2 / RADIANS($A56)</f>
        <v>33.953054526271</v>
      </c>
      <c r="R56" s="11" t="n">
        <f aca="false">R$2 / RADIANS($A56)</f>
        <v>36.075120434163</v>
      </c>
      <c r="S56" s="11" t="n">
        <f aca="false">S$2 / RADIANS($A56)</f>
        <v>38.1971863420549</v>
      </c>
      <c r="T56" s="11" t="n">
        <f aca="false">T$2 / RADIANS($A56)</f>
        <v>40.3192522499468</v>
      </c>
      <c r="U56" s="11" t="n">
        <f aca="false">U$2 / RADIANS($A56)</f>
        <v>42.4413181578388</v>
      </c>
    </row>
    <row r="57" customFormat="false" ht="15.75" hidden="false" customHeight="false" outlineLevel="0" collapsed="false">
      <c r="A57" s="2" t="n">
        <f aca="false">(ROW()-2)*0.05</f>
        <v>2.75</v>
      </c>
      <c r="B57" s="11" t="n">
        <f aca="false">B$2 / RADIANS($A57)</f>
        <v>2.08348289138481</v>
      </c>
      <c r="C57" s="11" t="n">
        <f aca="false">C$2 / RADIANS($A57)</f>
        <v>4.16696578276962</v>
      </c>
      <c r="D57" s="11" t="n">
        <f aca="false">D$2 / RADIANS($A57)</f>
        <v>6.25044867415444</v>
      </c>
      <c r="E57" s="11" t="n">
        <f aca="false">E$2 / RADIANS($A57)</f>
        <v>8.33393156553925</v>
      </c>
      <c r="F57" s="11" t="n">
        <f aca="false">F$2 / RADIANS($A57)</f>
        <v>10.4174144569241</v>
      </c>
      <c r="G57" s="11" t="n">
        <f aca="false">G$2 / RADIANS($A57)</f>
        <v>12.5008973483089</v>
      </c>
      <c r="H57" s="11" t="n">
        <f aca="false">H$2 / RADIANS($A57)</f>
        <v>14.5843802396937</v>
      </c>
      <c r="I57" s="11" t="n">
        <f aca="false">I$2 / RADIANS($A57)</f>
        <v>16.6678631310785</v>
      </c>
      <c r="J57" s="11" t="n">
        <f aca="false">J$2 / RADIANS($A57)</f>
        <v>18.7513460224633</v>
      </c>
      <c r="K57" s="11" t="n">
        <f aca="false">K$2 / RADIANS($A57)</f>
        <v>20.8348289138481</v>
      </c>
      <c r="L57" s="11" t="n">
        <f aca="false">L$2 / RADIANS($A57)</f>
        <v>22.9183118052329</v>
      </c>
      <c r="M57" s="11" t="n">
        <f aca="false">M$2 / RADIANS($A57)</f>
        <v>25.0017946966177</v>
      </c>
      <c r="N57" s="11" t="n">
        <f aca="false">N$2 / RADIANS($A57)</f>
        <v>27.0852775880026</v>
      </c>
      <c r="O57" s="11" t="n">
        <f aca="false">O$2 / RADIANS($A57)</f>
        <v>29.1687604793874</v>
      </c>
      <c r="P57" s="11" t="n">
        <f aca="false">P$2 / RADIANS($A57)</f>
        <v>31.2522433707722</v>
      </c>
      <c r="Q57" s="11" t="n">
        <f aca="false">Q$2 / RADIANS($A57)</f>
        <v>33.335726262157</v>
      </c>
      <c r="R57" s="11" t="n">
        <f aca="false">R$2 / RADIANS($A57)</f>
        <v>35.4192091535418</v>
      </c>
      <c r="S57" s="11" t="n">
        <f aca="false">S$2 / RADIANS($A57)</f>
        <v>37.5026920449266</v>
      </c>
      <c r="T57" s="11" t="n">
        <f aca="false">T$2 / RADIANS($A57)</f>
        <v>39.5861749363114</v>
      </c>
      <c r="U57" s="11" t="n">
        <f aca="false">U$2 / RADIANS($A57)</f>
        <v>41.6696578276962</v>
      </c>
    </row>
    <row r="58" customFormat="false" ht="15.75" hidden="false" customHeight="false" outlineLevel="0" collapsed="false">
      <c r="A58" s="2" t="n">
        <f aca="false">(ROW()-2)*0.05</f>
        <v>2.8</v>
      </c>
      <c r="B58" s="11" t="n">
        <f aca="false">B$2 / RADIANS($A58)</f>
        <v>2.04627783975294</v>
      </c>
      <c r="C58" s="11" t="n">
        <f aca="false">C$2 / RADIANS($A58)</f>
        <v>4.09255567950588</v>
      </c>
      <c r="D58" s="11" t="n">
        <f aca="false">D$2 / RADIANS($A58)</f>
        <v>6.13883351925882</v>
      </c>
      <c r="E58" s="11" t="n">
        <f aca="false">E$2 / RADIANS($A58)</f>
        <v>8.18511135901176</v>
      </c>
      <c r="F58" s="11" t="n">
        <f aca="false">F$2 / RADIANS($A58)</f>
        <v>10.2313891987647</v>
      </c>
      <c r="G58" s="11" t="n">
        <f aca="false">G$2 / RADIANS($A58)</f>
        <v>12.2776670385176</v>
      </c>
      <c r="H58" s="11" t="n">
        <f aca="false">H$2 / RADIANS($A58)</f>
        <v>14.3239448782706</v>
      </c>
      <c r="I58" s="11" t="n">
        <f aca="false">I$2 / RADIANS($A58)</f>
        <v>16.3702227180235</v>
      </c>
      <c r="J58" s="11" t="n">
        <f aca="false">J$2 / RADIANS($A58)</f>
        <v>18.4165005577765</v>
      </c>
      <c r="K58" s="11" t="n">
        <f aca="false">K$2 / RADIANS($A58)</f>
        <v>20.4627783975294</v>
      </c>
      <c r="L58" s="11" t="n">
        <f aca="false">L$2 / RADIANS($A58)</f>
        <v>22.5090562372823</v>
      </c>
      <c r="M58" s="11" t="n">
        <f aca="false">M$2 / RADIANS($A58)</f>
        <v>24.5553340770353</v>
      </c>
      <c r="N58" s="11" t="n">
        <f aca="false">N$2 / RADIANS($A58)</f>
        <v>26.6016119167882</v>
      </c>
      <c r="O58" s="11" t="n">
        <f aca="false">O$2 / RADIANS($A58)</f>
        <v>28.6478897565412</v>
      </c>
      <c r="P58" s="11" t="n">
        <f aca="false">P$2 / RADIANS($A58)</f>
        <v>30.6941675962941</v>
      </c>
      <c r="Q58" s="11" t="n">
        <f aca="false">Q$2 / RADIANS($A58)</f>
        <v>32.740445436047</v>
      </c>
      <c r="R58" s="11" t="n">
        <f aca="false">R$2 / RADIANS($A58)</f>
        <v>34.7867232758</v>
      </c>
      <c r="S58" s="11" t="n">
        <f aca="false">S$2 / RADIANS($A58)</f>
        <v>36.8330011155529</v>
      </c>
      <c r="T58" s="11" t="n">
        <f aca="false">T$2 / RADIANS($A58)</f>
        <v>38.8792789553059</v>
      </c>
      <c r="U58" s="11" t="n">
        <f aca="false">U$2 / RADIANS($A58)</f>
        <v>40.9255567950588</v>
      </c>
    </row>
    <row r="59" customFormat="false" ht="15.75" hidden="false" customHeight="false" outlineLevel="0" collapsed="false">
      <c r="A59" s="2" t="n">
        <f aca="false">(ROW()-2)*0.05</f>
        <v>2.85</v>
      </c>
      <c r="B59" s="11" t="n">
        <f aca="false">B$2 / RADIANS($A59)</f>
        <v>2.0103782285292</v>
      </c>
      <c r="C59" s="11" t="n">
        <f aca="false">C$2 / RADIANS($A59)</f>
        <v>4.02075645705841</v>
      </c>
      <c r="D59" s="11" t="n">
        <f aca="false">D$2 / RADIANS($A59)</f>
        <v>6.03113468558761</v>
      </c>
      <c r="E59" s="11" t="n">
        <f aca="false">E$2 / RADIANS($A59)</f>
        <v>8.04151291411682</v>
      </c>
      <c r="F59" s="11" t="n">
        <f aca="false">F$2 / RADIANS($A59)</f>
        <v>10.051891142646</v>
      </c>
      <c r="G59" s="11" t="n">
        <f aca="false">G$2 / RADIANS($A59)</f>
        <v>12.0622693711752</v>
      </c>
      <c r="H59" s="11" t="n">
        <f aca="false">H$2 / RADIANS($A59)</f>
        <v>14.0726475997044</v>
      </c>
      <c r="I59" s="11" t="n">
        <f aca="false">I$2 / RADIANS($A59)</f>
        <v>16.0830258282336</v>
      </c>
      <c r="J59" s="11" t="n">
        <f aca="false">J$2 / RADIANS($A59)</f>
        <v>18.0934040567628</v>
      </c>
      <c r="K59" s="11" t="n">
        <f aca="false">K$2 / RADIANS($A59)</f>
        <v>20.103782285292</v>
      </c>
      <c r="L59" s="11" t="n">
        <f aca="false">L$2 / RADIANS($A59)</f>
        <v>22.1141605138213</v>
      </c>
      <c r="M59" s="11" t="n">
        <f aca="false">M$2 / RADIANS($A59)</f>
        <v>24.1245387423505</v>
      </c>
      <c r="N59" s="11" t="n">
        <f aca="false">N$2 / RADIANS($A59)</f>
        <v>26.1349169708797</v>
      </c>
      <c r="O59" s="11" t="n">
        <f aca="false">O$2 / RADIANS($A59)</f>
        <v>28.1452951994089</v>
      </c>
      <c r="P59" s="11" t="n">
        <f aca="false">P$2 / RADIANS($A59)</f>
        <v>30.1556734279381</v>
      </c>
      <c r="Q59" s="11" t="n">
        <f aca="false">Q$2 / RADIANS($A59)</f>
        <v>32.1660516564673</v>
      </c>
      <c r="R59" s="11" t="n">
        <f aca="false">R$2 / RADIANS($A59)</f>
        <v>34.1764298849965</v>
      </c>
      <c r="S59" s="11" t="n">
        <f aca="false">S$2 / RADIANS($A59)</f>
        <v>36.1868081135257</v>
      </c>
      <c r="T59" s="11" t="n">
        <f aca="false">T$2 / RADIANS($A59)</f>
        <v>38.1971863420549</v>
      </c>
      <c r="U59" s="11" t="n">
        <f aca="false">U$2 / RADIANS($A59)</f>
        <v>40.2075645705841</v>
      </c>
    </row>
    <row r="60" customFormat="false" ht="15.75" hidden="false" customHeight="false" outlineLevel="0" collapsed="false">
      <c r="A60" s="2" t="n">
        <f aca="false">(ROW()-2)*0.05</f>
        <v>2.9</v>
      </c>
      <c r="B60" s="11" t="n">
        <f aca="false">B$2 / RADIANS($A60)</f>
        <v>1.97571653493387</v>
      </c>
      <c r="C60" s="11" t="n">
        <f aca="false">C$2 / RADIANS($A60)</f>
        <v>3.95143306986775</v>
      </c>
      <c r="D60" s="11" t="n">
        <f aca="false">D$2 / RADIANS($A60)</f>
        <v>5.92714960480162</v>
      </c>
      <c r="E60" s="11" t="n">
        <f aca="false">E$2 / RADIANS($A60)</f>
        <v>7.90286613973549</v>
      </c>
      <c r="F60" s="11" t="n">
        <f aca="false">F$2 / RADIANS($A60)</f>
        <v>9.87858267466936</v>
      </c>
      <c r="G60" s="11" t="n">
        <f aca="false">G$2 / RADIANS($A60)</f>
        <v>11.8542992096032</v>
      </c>
      <c r="H60" s="11" t="n">
        <f aca="false">H$2 / RADIANS($A60)</f>
        <v>13.8300157445371</v>
      </c>
      <c r="I60" s="11" t="n">
        <f aca="false">I$2 / RADIANS($A60)</f>
        <v>15.805732279471</v>
      </c>
      <c r="J60" s="11" t="n">
        <f aca="false">J$2 / RADIANS($A60)</f>
        <v>17.7814488144049</v>
      </c>
      <c r="K60" s="11" t="n">
        <f aca="false">K$2 / RADIANS($A60)</f>
        <v>19.7571653493387</v>
      </c>
      <c r="L60" s="11" t="n">
        <f aca="false">L$2 / RADIANS($A60)</f>
        <v>21.7328818842726</v>
      </c>
      <c r="M60" s="11" t="n">
        <f aca="false">M$2 / RADIANS($A60)</f>
        <v>23.7085984192065</v>
      </c>
      <c r="N60" s="11" t="n">
        <f aca="false">N$2 / RADIANS($A60)</f>
        <v>25.6843149541403</v>
      </c>
      <c r="O60" s="11" t="n">
        <f aca="false">O$2 / RADIANS($A60)</f>
        <v>27.6600314890742</v>
      </c>
      <c r="P60" s="11" t="n">
        <f aca="false">P$2 / RADIANS($A60)</f>
        <v>29.6357480240081</v>
      </c>
      <c r="Q60" s="11" t="n">
        <f aca="false">Q$2 / RADIANS($A60)</f>
        <v>31.611464558942</v>
      </c>
      <c r="R60" s="11" t="n">
        <f aca="false">R$2 / RADIANS($A60)</f>
        <v>33.5871810938758</v>
      </c>
      <c r="S60" s="11" t="n">
        <f aca="false">S$2 / RADIANS($A60)</f>
        <v>35.5628976288097</v>
      </c>
      <c r="T60" s="11" t="n">
        <f aca="false">T$2 / RADIANS($A60)</f>
        <v>37.5386141637436</v>
      </c>
      <c r="U60" s="11" t="n">
        <f aca="false">U$2 / RADIANS($A60)</f>
        <v>39.5143306986775</v>
      </c>
    </row>
    <row r="61" customFormat="false" ht="15.75" hidden="false" customHeight="false" outlineLevel="0" collapsed="false">
      <c r="A61" s="2" t="n">
        <f aca="false">(ROW()-2)*0.05</f>
        <v>2.95</v>
      </c>
      <c r="B61" s="11" t="n">
        <f aca="false">B$2 / RADIANS($A61)</f>
        <v>1.94222981400279</v>
      </c>
      <c r="C61" s="11" t="n">
        <f aca="false">C$2 / RADIANS($A61)</f>
        <v>3.88445962800558</v>
      </c>
      <c r="D61" s="11" t="n">
        <f aca="false">D$2 / RADIANS($A61)</f>
        <v>5.82668944200837</v>
      </c>
      <c r="E61" s="11" t="n">
        <f aca="false">E$2 / RADIANS($A61)</f>
        <v>7.76891925601116</v>
      </c>
      <c r="F61" s="11" t="n">
        <f aca="false">F$2 / RADIANS($A61)</f>
        <v>9.71114907001395</v>
      </c>
      <c r="G61" s="11" t="n">
        <f aca="false">G$2 / RADIANS($A61)</f>
        <v>11.6533788840167</v>
      </c>
      <c r="H61" s="11" t="n">
        <f aca="false">H$2 / RADIANS($A61)</f>
        <v>13.5956086980195</v>
      </c>
      <c r="I61" s="11" t="n">
        <f aca="false">I$2 / RADIANS($A61)</f>
        <v>15.5378385120223</v>
      </c>
      <c r="J61" s="11" t="n">
        <f aca="false">J$2 / RADIANS($A61)</f>
        <v>17.4800683260251</v>
      </c>
      <c r="K61" s="11" t="n">
        <f aca="false">K$2 / RADIANS($A61)</f>
        <v>19.4222981400279</v>
      </c>
      <c r="L61" s="11" t="n">
        <f aca="false">L$2 / RADIANS($A61)</f>
        <v>21.3645279540307</v>
      </c>
      <c r="M61" s="11" t="n">
        <f aca="false">M$2 / RADIANS($A61)</f>
        <v>23.3067577680335</v>
      </c>
      <c r="N61" s="11" t="n">
        <f aca="false">N$2 / RADIANS($A61)</f>
        <v>25.2489875820363</v>
      </c>
      <c r="O61" s="11" t="n">
        <f aca="false">O$2 / RADIANS($A61)</f>
        <v>27.1912173960391</v>
      </c>
      <c r="P61" s="11" t="n">
        <f aca="false">P$2 / RADIANS($A61)</f>
        <v>29.1334472100419</v>
      </c>
      <c r="Q61" s="11" t="n">
        <f aca="false">Q$2 / RADIANS($A61)</f>
        <v>31.0756770240446</v>
      </c>
      <c r="R61" s="11" t="n">
        <f aca="false">R$2 / RADIANS($A61)</f>
        <v>33.0179068380474</v>
      </c>
      <c r="S61" s="11" t="n">
        <f aca="false">S$2 / RADIANS($A61)</f>
        <v>34.9601366520502</v>
      </c>
      <c r="T61" s="11" t="n">
        <f aca="false">T$2 / RADIANS($A61)</f>
        <v>36.902366466053</v>
      </c>
      <c r="U61" s="11" t="n">
        <f aca="false">U$2 / RADIANS($A61)</f>
        <v>38.8445962800558</v>
      </c>
    </row>
    <row r="62" customFormat="false" ht="15.75" hidden="false" customHeight="false" outlineLevel="0" collapsed="false">
      <c r="A62" s="2" t="n">
        <f aca="false">(ROW()-2)*0.05</f>
        <v>3</v>
      </c>
      <c r="B62" s="11" t="n">
        <f aca="false">B$2 / RADIANS($A62)</f>
        <v>1.90985931710274</v>
      </c>
      <c r="C62" s="11" t="n">
        <f aca="false">C$2 / RADIANS($A62)</f>
        <v>3.81971863420549</v>
      </c>
      <c r="D62" s="11" t="n">
        <f aca="false">D$2 / RADIANS($A62)</f>
        <v>5.72957795130823</v>
      </c>
      <c r="E62" s="11" t="n">
        <f aca="false">E$2 / RADIANS($A62)</f>
        <v>7.63943726841098</v>
      </c>
      <c r="F62" s="11" t="n">
        <f aca="false">F$2 / RADIANS($A62)</f>
        <v>9.54929658551372</v>
      </c>
      <c r="G62" s="11" t="n">
        <f aca="false">G$2 / RADIANS($A62)</f>
        <v>11.4591559026165</v>
      </c>
      <c r="H62" s="11" t="n">
        <f aca="false">H$2 / RADIANS($A62)</f>
        <v>13.3690152197192</v>
      </c>
      <c r="I62" s="11" t="n">
        <f aca="false">I$2 / RADIANS($A62)</f>
        <v>15.278874536822</v>
      </c>
      <c r="J62" s="11" t="n">
        <f aca="false">J$2 / RADIANS($A62)</f>
        <v>17.1887338539247</v>
      </c>
      <c r="K62" s="11" t="n">
        <f aca="false">K$2 / RADIANS($A62)</f>
        <v>19.0985931710274</v>
      </c>
      <c r="L62" s="11" t="n">
        <f aca="false">L$2 / RADIANS($A62)</f>
        <v>21.0084524881302</v>
      </c>
      <c r="M62" s="11" t="n">
        <f aca="false">M$2 / RADIANS($A62)</f>
        <v>22.9183118052329</v>
      </c>
      <c r="N62" s="11" t="n">
        <f aca="false">N$2 / RADIANS($A62)</f>
        <v>24.8281711223357</v>
      </c>
      <c r="O62" s="11" t="n">
        <f aca="false">O$2 / RADIANS($A62)</f>
        <v>26.7380304394384</v>
      </c>
      <c r="P62" s="11" t="n">
        <f aca="false">P$2 / RADIANS($A62)</f>
        <v>28.6478897565412</v>
      </c>
      <c r="Q62" s="11" t="n">
        <f aca="false">Q$2 / RADIANS($A62)</f>
        <v>30.5577490736439</v>
      </c>
      <c r="R62" s="11" t="n">
        <f aca="false">R$2 / RADIANS($A62)</f>
        <v>32.4676083907467</v>
      </c>
      <c r="S62" s="11" t="n">
        <f aca="false">S$2 / RADIANS($A62)</f>
        <v>34.3774677078494</v>
      </c>
      <c r="T62" s="11" t="n">
        <f aca="false">T$2 / RADIANS($A62)</f>
        <v>36.2873270249521</v>
      </c>
      <c r="U62" s="11" t="n">
        <f aca="false">U$2 / RADIANS($A62)</f>
        <v>38.1971863420549</v>
      </c>
    </row>
  </sheetData>
  <conditionalFormatting sqref="B2:U62">
    <cfRule type="cellIs" priority="2" operator="greaterThanOrEqual" aboveAverage="0" equalAverage="0" bottom="0" percent="0" rank="0" text="" dxfId="0">
      <formula>100</formula>
    </cfRule>
    <cfRule type="cellIs" priority="3" operator="greaterThan" aboveAverage="0" equalAverage="0" bottom="0" percent="0" rank="0" text="" dxfId="1">
      <formula>70</formula>
    </cfRule>
    <cfRule type="cellIs" priority="4" operator="greaterThan" aboveAverage="0" equalAverage="0" bottom="0" percent="0" rank="0" text="" dxfId="2">
      <formula>50</formula>
    </cfRule>
    <cfRule type="cellIs" priority="5" operator="greaterThan" aboveAverage="0" equalAverage="0" bottom="0" percent="0" rank="0" text="" dxfId="3">
      <formula>40</formula>
    </cfRule>
    <cfRule type="cellIs" priority="6" operator="greaterThan" aboveAverage="0" equalAverage="0" bottom="0" percent="0" rank="0" text="" dxfId="4">
      <formula>30</formula>
    </cfRule>
    <cfRule type="cellIs" priority="7" operator="greaterThanOrEqual" aboveAverage="0" equalAverage="0" bottom="0" percent="0" rank="0" text="" dxfId="5">
      <formula>20</formula>
    </cfRule>
  </conditionalFormatting>
  <conditionalFormatting sqref="N68">
    <cfRule type="expression" priority="8" aboveAverage="0" equalAverage="0" bottom="0" percent="0" rank="0" text="" dxfId="6">
      <formula>LEN(TRIM(N68))&gt;0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B75" activeCellId="0" sqref="B7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20.31"/>
    <col collapsed="false" customWidth="true" hidden="false" outlineLevel="0" max="3" min="3" style="0" width="24.62"/>
    <col collapsed="false" customWidth="true" hidden="false" outlineLevel="0" max="4" min="4" style="0" width="16.83"/>
    <col collapsed="false" customWidth="true" hidden="false" outlineLevel="0" max="5" min="5" style="0" width="26.84"/>
    <col collapsed="false" customWidth="true" hidden="false" outlineLevel="0" max="6" min="6" style="0" width="24.62"/>
    <col collapsed="false" customWidth="true" hidden="false" outlineLevel="0" max="7" min="7" style="0" width="22.68"/>
    <col collapsed="false" customWidth="true" hidden="false" outlineLevel="0" max="8" min="8" style="0" width="27.82"/>
    <col collapsed="false" customWidth="true" hidden="false" outlineLevel="0" max="9" min="9" style="0" width="35.05"/>
    <col collapsed="false" customWidth="true" hidden="false" outlineLevel="0" max="10" min="10" style="0" width="19.33"/>
    <col collapsed="false" customWidth="true" hidden="false" outlineLevel="0" max="11" min="11" style="0" width="29.63"/>
    <col collapsed="false" customWidth="true" hidden="false" outlineLevel="0" max="12" min="12" style="0" width="27.82"/>
    <col collapsed="false" customWidth="true" hidden="false" outlineLevel="0" max="13" min="13" style="0" width="17.67"/>
    <col collapsed="false" customWidth="true" hidden="false" outlineLevel="0" max="14" min="14" style="0" width="22.12"/>
    <col collapsed="false" customWidth="true" hidden="false" outlineLevel="0" max="15" min="15" style="0" width="20.86"/>
    <col collapsed="false" customWidth="true" hidden="false" outlineLevel="0" max="16" min="16" style="0" width="21"/>
    <col collapsed="false" customWidth="true" hidden="false" outlineLevel="0" max="17" min="17" style="0" width="26.16"/>
    <col collapsed="false" customWidth="true" hidden="false" outlineLevel="0" max="18" min="18" style="0" width="17.24"/>
    <col collapsed="false" customWidth="true" hidden="false" outlineLevel="0" max="19" min="19" style="0" width="25.59"/>
    <col collapsed="false" customWidth="true" hidden="false" outlineLevel="0" max="20" min="20" style="0" width="17.38"/>
    <col collapsed="false" customWidth="true" hidden="false" outlineLevel="0" max="21" min="21" style="0" width="18.5"/>
    <col collapsed="false" customWidth="true" hidden="false" outlineLevel="0" max="22" min="22" style="0" width="17.5"/>
    <col collapsed="false" customWidth="true" hidden="false" outlineLevel="0" max="23" min="23" style="0" width="16.89"/>
    <col collapsed="false" customWidth="true" hidden="false" outlineLevel="0" max="24" min="24" style="0" width="17.75"/>
  </cols>
  <sheetData>
    <row r="1" customFormat="false" ht="15.75" hidden="false" customHeight="false" outlineLevel="0" collapsed="false">
      <c r="A1" s="18" t="s">
        <v>38</v>
      </c>
      <c r="B1" s="18" t="s">
        <v>39</v>
      </c>
      <c r="C1" s="18" t="s">
        <v>40</v>
      </c>
      <c r="D1" s="18" t="s">
        <v>41</v>
      </c>
      <c r="F1" s="18" t="s">
        <v>42</v>
      </c>
      <c r="H1" s="18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N1" s="18" t="s">
        <v>48</v>
      </c>
    </row>
    <row r="2" customFormat="false" ht="15.75" hidden="false" customHeight="false" outlineLevel="0" collapsed="false">
      <c r="A2" s="9" t="n">
        <f aca="false">1000/60/60</f>
        <v>0.2777777778</v>
      </c>
      <c r="B2" s="9" t="n">
        <f aca="false">1000/60/60/20</f>
        <v>0.01388888889</v>
      </c>
      <c r="C2" s="9" t="n">
        <f aca="false">1/20</f>
        <v>0.05</v>
      </c>
      <c r="D2" s="2" t="n">
        <v>0.125</v>
      </c>
      <c r="F2" s="2" t="n">
        <v>0.05</v>
      </c>
      <c r="H2" s="2" t="n">
        <v>9.81</v>
      </c>
      <c r="I2" s="2" t="n">
        <v>343</v>
      </c>
      <c r="J2" s="9" t="n">
        <f aca="false">$I$2*$C$2</f>
        <v>17.15</v>
      </c>
      <c r="K2" s="9" t="n">
        <f aca="false">$I$2*$D$2</f>
        <v>42.875</v>
      </c>
      <c r="L2" s="9" t="n">
        <f aca="false">$K$2*$C$2</f>
        <v>2.14375</v>
      </c>
      <c r="N2" s="2" t="n">
        <v>0.5</v>
      </c>
    </row>
    <row r="5" customFormat="false" ht="15.75" hidden="false" customHeight="false" outlineLevel="0" collapsed="false">
      <c r="A5" s="1" t="s">
        <v>49</v>
      </c>
    </row>
    <row r="6" customFormat="false" ht="15.75" hidden="false" customHeight="false" outlineLevel="0" collapsed="false">
      <c r="A6" s="1" t="s">
        <v>0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9"/>
    </row>
    <row r="7" customFormat="false" ht="15.75" hidden="false" customHeight="false" outlineLevel="0" collapsed="false">
      <c r="A7" s="20" t="s">
        <v>71</v>
      </c>
      <c r="B7" s="21" t="n">
        <v>8573</v>
      </c>
      <c r="C7" s="21" t="n">
        <v>19187</v>
      </c>
      <c r="D7" s="21" t="n">
        <v>76.31</v>
      </c>
      <c r="E7" s="21" t="n">
        <v>131</v>
      </c>
      <c r="F7" s="22" t="n">
        <f aca="false">E7*1000/(B7*9.81)</f>
        <v>1.557648511976</v>
      </c>
      <c r="G7" s="22" t="n">
        <f aca="false">E7*1000/(C7*9.81)</f>
        <v>0.695977520882381</v>
      </c>
      <c r="H7" s="23" t="n">
        <v>250</v>
      </c>
      <c r="I7" s="24" t="n">
        <f aca="false">H7+J7/5</f>
        <v>436.6</v>
      </c>
      <c r="J7" s="21" t="n">
        <v>933</v>
      </c>
      <c r="K7" s="21" t="n">
        <v>1482</v>
      </c>
      <c r="L7" s="21" t="n">
        <v>2178</v>
      </c>
      <c r="M7" s="21" t="n">
        <v>28</v>
      </c>
      <c r="N7" s="25" t="n">
        <f aca="false">B7*$H$2/(0.5*$N$2*1.225*(I7*$A$2)^2)</f>
        <v>18.6708148579464</v>
      </c>
      <c r="O7" s="21" t="n">
        <v>15000</v>
      </c>
      <c r="P7" s="25" t="n">
        <f aca="false">B7*$H$2/(0.5*M7*1.225*H7^2*$A$2^2)</f>
        <v>1.01686357516092</v>
      </c>
      <c r="Q7" s="25" t="n">
        <f aca="false">(C7*$H$2/(0.5*P7*M7*1.225)/$A$2^2)^0.5</f>
        <v>374.004764336828</v>
      </c>
      <c r="R7" s="21" t="n">
        <v>0.49</v>
      </c>
      <c r="S7" s="25" t="n">
        <f aca="false">E7*2/(1.225*K7^2*$A$2^2*R7)</f>
        <v>0.00257559585069675</v>
      </c>
      <c r="T7" s="21" t="n">
        <v>9086.7</v>
      </c>
      <c r="U7" s="21" t="n">
        <v>80187.1</v>
      </c>
      <c r="V7" s="21" t="n">
        <v>85602.3</v>
      </c>
    </row>
    <row r="8" customFormat="false" ht="15.75" hidden="false" customHeight="false" outlineLevel="0" collapsed="false">
      <c r="A8" s="20" t="s">
        <v>72</v>
      </c>
      <c r="B8" s="21" t="n">
        <v>11000</v>
      </c>
      <c r="C8" s="21" t="n">
        <v>18000</v>
      </c>
      <c r="D8" s="21" t="n">
        <v>98.84</v>
      </c>
      <c r="E8" s="21" t="n">
        <v>163.16</v>
      </c>
      <c r="F8" s="22" t="n">
        <f aca="false">E8*1000/(B8*9.81)</f>
        <v>1.51200074135854</v>
      </c>
      <c r="G8" s="22" t="n">
        <f aca="false">E8*1000/(C8*9.81)</f>
        <v>0.924000453052441</v>
      </c>
      <c r="H8" s="23" t="n">
        <v>220</v>
      </c>
      <c r="I8" s="24" t="n">
        <f aca="false">H8+J8/5</f>
        <v>460</v>
      </c>
      <c r="J8" s="23" t="n">
        <v>1200</v>
      </c>
      <c r="K8" s="23" t="n">
        <v>1700</v>
      </c>
      <c r="L8" s="21" t="n">
        <v>2450</v>
      </c>
      <c r="M8" s="21" t="n">
        <v>38</v>
      </c>
      <c r="N8" s="25" t="n">
        <f aca="false">B8*$H$2/(0.5*$N$2*1.225*(I8*$A$2)^2)</f>
        <v>21.5811673897803</v>
      </c>
      <c r="O8" s="21" t="n">
        <v>18000</v>
      </c>
      <c r="P8" s="25" t="n">
        <f aca="false">B8*$H$2/(0.5*M8*1.225*H8^2*$A$2^2)</f>
        <v>1.24145688877705</v>
      </c>
      <c r="Q8" s="25" t="n">
        <f aca="false">(C8*$H$2/(0.5*P8*M8*1.225)/$A$2^2)^0.5</f>
        <v>281.424945589406</v>
      </c>
      <c r="R8" s="23" t="n">
        <v>0.55</v>
      </c>
      <c r="S8" s="25" t="n">
        <f aca="false">E8*2/(1.225*K8^2*$A$2^2*R8)</f>
        <v>0.00217196125046297</v>
      </c>
    </row>
    <row r="9" customFormat="false" ht="15.75" hidden="false" customHeight="false" outlineLevel="0" collapsed="false">
      <c r="A9" s="20" t="s">
        <v>73</v>
      </c>
      <c r="B9" s="23" t="n">
        <v>7200</v>
      </c>
      <c r="C9" s="21" t="n">
        <v>10400</v>
      </c>
      <c r="D9" s="21" t="n">
        <v>40.18</v>
      </c>
      <c r="E9" s="21" t="n">
        <v>69.58</v>
      </c>
      <c r="F9" s="22" t="n">
        <f aca="false">E9*1000/(B9*9.81)</f>
        <v>0.985105901008042</v>
      </c>
      <c r="G9" s="22" t="n">
        <f aca="false">E9*1000/(C9*9.81)</f>
        <v>0.681996393005567</v>
      </c>
      <c r="H9" s="23" t="n">
        <v>350</v>
      </c>
      <c r="I9" s="24" t="n">
        <f aca="false">H9+J9/5</f>
        <v>511.2</v>
      </c>
      <c r="J9" s="23" t="n">
        <v>806</v>
      </c>
      <c r="K9" s="21" t="n">
        <v>1300</v>
      </c>
      <c r="L9" s="21" t="n">
        <v>2175</v>
      </c>
      <c r="M9" s="21" t="n">
        <v>23</v>
      </c>
      <c r="N9" s="25" t="n">
        <f aca="false">B9*$H$2/(0.5*$N$2*1.225*(I9*$A$2)^2)</f>
        <v>11.4379637970598</v>
      </c>
      <c r="O9" s="21" t="n">
        <v>17500</v>
      </c>
      <c r="P9" s="25" t="n">
        <f aca="false">B9*$H$2/(0.5*M9*1.225*H9^2*$A$2^2)</f>
        <v>0.530440270092411</v>
      </c>
      <c r="Q9" s="25" t="n">
        <f aca="false">(C9*$H$2/(0.5*P9*M9*1.225)/$A$2^2)^0.5</f>
        <v>420.647648804132</v>
      </c>
      <c r="R9" s="23" t="n">
        <v>0.46</v>
      </c>
      <c r="S9" s="25" t="n">
        <f aca="false">E9*2/(1.225*K9^2*$A$2^2*R9)</f>
        <v>0.00189382042676156</v>
      </c>
    </row>
    <row r="10" customFormat="false" ht="15.75" hidden="false" customHeight="false" outlineLevel="0" collapsed="false">
      <c r="A10" s="20" t="s">
        <v>74</v>
      </c>
      <c r="B10" s="21" t="n">
        <v>11321</v>
      </c>
      <c r="C10" s="21" t="n">
        <v>20865</v>
      </c>
      <c r="D10" s="21" t="n">
        <v>80.64</v>
      </c>
      <c r="E10" s="21" t="n">
        <v>80.64</v>
      </c>
      <c r="F10" s="22" t="n">
        <f aca="false">E10*1000/(B10*9.81)</f>
        <v>0.726100475774095</v>
      </c>
      <c r="G10" s="22" t="n">
        <f aca="false">E10*1000/(C10*9.81)</f>
        <v>0.393969972980519</v>
      </c>
      <c r="H10" s="23" t="n">
        <v>315</v>
      </c>
      <c r="I10" s="24" t="n">
        <f aca="false">H10+J10/5</f>
        <v>427</v>
      </c>
      <c r="J10" s="21" t="n">
        <v>560</v>
      </c>
      <c r="K10" s="21" t="n">
        <v>706</v>
      </c>
      <c r="L10" s="21" t="n">
        <v>833</v>
      </c>
      <c r="M10" s="21" t="n">
        <v>47</v>
      </c>
      <c r="N10" s="25" t="n">
        <f aca="false">B10*$H$2/(0.5*$N$2*1.225*(I10*$A$2)^2)</f>
        <v>25.7766783211413</v>
      </c>
      <c r="O10" s="21" t="n">
        <v>13700</v>
      </c>
      <c r="P10" s="25" t="n">
        <f aca="false">B10*$H$2/(0.5*M10*1.225*H10^2*$A$2^2)</f>
        <v>0.50388768076158</v>
      </c>
      <c r="Q10" s="25" t="n">
        <f aca="false">(C10*$H$2/(0.5*P10*M10*1.225)/$A$2^2)^0.5</f>
        <v>427.639047071223</v>
      </c>
      <c r="R10" s="23" t="n">
        <v>1.645</v>
      </c>
      <c r="S10" s="25" t="n">
        <f aca="false">E10*2/(1.225*K10^2*$A$2^2*R10)</f>
        <v>0.00208100978908295</v>
      </c>
    </row>
    <row r="11" customFormat="false" ht="15.75" hidden="false" customHeight="false" outlineLevel="0" collapsed="false">
      <c r="A11" s="20" t="s">
        <v>30</v>
      </c>
      <c r="B11" s="21" t="n">
        <v>83915</v>
      </c>
      <c r="C11" s="21" t="n">
        <v>157397</v>
      </c>
      <c r="D11" s="21" t="n">
        <v>384</v>
      </c>
      <c r="E11" s="21" t="n">
        <v>384</v>
      </c>
      <c r="F11" s="22" t="n">
        <f aca="false">E11*1000/(B11*9.81)</f>
        <v>0.466468818290534</v>
      </c>
      <c r="G11" s="22" t="n">
        <f aca="false">E11*1000/(C11*9.81)</f>
        <v>0.248694262831249</v>
      </c>
      <c r="H11" s="23" t="n">
        <v>400</v>
      </c>
      <c r="I11" s="24" t="n">
        <f aca="false">H11+J11/5</f>
        <v>516</v>
      </c>
      <c r="J11" s="21" t="n">
        <v>580</v>
      </c>
      <c r="K11" s="23" t="n">
        <v>700</v>
      </c>
      <c r="L11" s="21" t="n">
        <v>854</v>
      </c>
      <c r="M11" s="21" t="n">
        <v>283</v>
      </c>
      <c r="N11" s="25" t="n">
        <f aca="false">B11*$H$2/(0.5*$N$2*1.225*(I11*$A$2)^2)</f>
        <v>130.839268419811</v>
      </c>
      <c r="O11" s="21" t="n">
        <v>8800</v>
      </c>
      <c r="P11" s="25" t="n">
        <f aca="false">B11*$H$2/(0.5*M11*1.225*H11^2*$A$2^2)</f>
        <v>0.384681319041357</v>
      </c>
      <c r="Q11" s="25" t="n">
        <f aca="false">(C11*$H$2/(0.5*P11*M11*1.225)/$A$2^2)^0.5</f>
        <v>547.820672959448</v>
      </c>
      <c r="R11" s="23" t="n">
        <v>14.5</v>
      </c>
      <c r="S11" s="25" t="n">
        <f aca="false">E11*2/(1.225*K11^2*$A$2^2*R11)</f>
        <v>0.00114357868111361</v>
      </c>
    </row>
    <row r="12" customFormat="false" ht="15.75" hidden="false" customHeight="false" outlineLevel="0" collapsed="false">
      <c r="A12" s="20" t="s">
        <v>75</v>
      </c>
      <c r="B12" s="21" t="n">
        <v>3463</v>
      </c>
      <c r="C12" s="21" t="n">
        <v>5490</v>
      </c>
      <c r="D12" s="21" t="n">
        <v>14.68</v>
      </c>
      <c r="E12" s="21" t="n">
        <v>17</v>
      </c>
      <c r="F12" s="22" t="n">
        <f aca="false">E12*1000/(B12*9.81)</f>
        <v>0.500411662182095</v>
      </c>
      <c r="G12" s="22" t="n">
        <f aca="false">E12*1000/(C12*9.81)</f>
        <v>0.315651290735263</v>
      </c>
      <c r="H12" s="23" t="n">
        <v>160</v>
      </c>
      <c r="I12" s="24" t="n">
        <f aca="false">H12+J12/5</f>
        <v>276.6</v>
      </c>
      <c r="J12" s="21" t="n">
        <v>583</v>
      </c>
      <c r="K12" s="23" t="n">
        <v>660</v>
      </c>
      <c r="L12" s="21" t="n">
        <v>710</v>
      </c>
      <c r="M12" s="21" t="n">
        <v>21.8</v>
      </c>
      <c r="N12" s="25" t="n">
        <f aca="false">B12*$H$2/(0.5*$N$2*1.225*(I12*$A$2)^2)</f>
        <v>18.79083380559</v>
      </c>
      <c r="O12" s="21" t="n">
        <v>12800</v>
      </c>
      <c r="P12" s="25" t="n">
        <f aca="false">B12*$H$2/(0.5*M12*1.225*H12^2*$A$2^2)</f>
        <v>1.28802397938575</v>
      </c>
      <c r="Q12" s="25" t="n">
        <f aca="false">(C12*$H$2/(0.5*P12*M12*1.225)/$A$2^2)^0.5</f>
        <v>201.455862007736</v>
      </c>
      <c r="R12" s="21" t="n">
        <v>0.35</v>
      </c>
      <c r="S12" s="25" t="n">
        <f aca="false">E12*2/(1.225*K12^2*$A$2^2*R12)</f>
        <v>0.00235934751666947</v>
      </c>
    </row>
    <row r="20" customFormat="false" ht="15.75" hidden="false" customHeight="false" outlineLevel="0" collapsed="false">
      <c r="A20" s="1" t="s">
        <v>76</v>
      </c>
    </row>
    <row r="21" customFormat="false" ht="15.75" hidden="false" customHeight="false" outlineLevel="0" collapsed="false">
      <c r="A21" s="1" t="s">
        <v>0</v>
      </c>
      <c r="B21" s="1" t="s">
        <v>50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77</v>
      </c>
      <c r="I21" s="1" t="s">
        <v>78</v>
      </c>
      <c r="J21" s="1" t="s">
        <v>79</v>
      </c>
      <c r="K21" s="1" t="s">
        <v>80</v>
      </c>
      <c r="L21" s="1" t="s">
        <v>81</v>
      </c>
      <c r="M21" s="1" t="s">
        <v>61</v>
      </c>
      <c r="N21" s="1" t="s">
        <v>62</v>
      </c>
      <c r="O21" s="1" t="s">
        <v>63</v>
      </c>
      <c r="P21" s="1" t="s">
        <v>64</v>
      </c>
      <c r="Q21" s="1" t="s">
        <v>82</v>
      </c>
      <c r="R21" s="1" t="s">
        <v>66</v>
      </c>
      <c r="S21" s="1" t="s">
        <v>67</v>
      </c>
      <c r="T21" s="1" t="s">
        <v>68</v>
      </c>
      <c r="U21" s="1" t="s">
        <v>69</v>
      </c>
      <c r="V21" s="1" t="s">
        <v>70</v>
      </c>
    </row>
    <row r="22" customFormat="false" ht="15.75" hidden="false" customHeight="false" outlineLevel="0" collapsed="false">
      <c r="A22" s="20" t="s">
        <v>71</v>
      </c>
      <c r="B22" s="21" t="n">
        <v>8573</v>
      </c>
      <c r="C22" s="21" t="n">
        <v>19187</v>
      </c>
      <c r="D22" s="21" t="n">
        <v>76.31</v>
      </c>
      <c r="E22" s="21" t="n">
        <v>131</v>
      </c>
      <c r="F22" s="22" t="n">
        <f aca="false">E22*1000/(B22*9.81)</f>
        <v>1.557648511976</v>
      </c>
      <c r="G22" s="22" t="n">
        <f aca="false">E22*1000/(C22*9.81)</f>
        <v>0.695977520882381</v>
      </c>
      <c r="H22" s="25" t="n">
        <f aca="false">H7*$A$2</f>
        <v>69.44444445</v>
      </c>
      <c r="I22" s="25" t="n">
        <f aca="false">I7*$A$2</f>
        <v>121.27777778748</v>
      </c>
      <c r="J22" s="25" t="n">
        <f aca="false">J7*$A$2</f>
        <v>259.1666666874</v>
      </c>
      <c r="K22" s="25" t="n">
        <f aca="false">K7*$A$2</f>
        <v>411.6666666996</v>
      </c>
      <c r="L22" s="25" t="n">
        <f aca="false">L7*$A$2</f>
        <v>605.0000000484</v>
      </c>
      <c r="M22" s="21" t="n">
        <v>28</v>
      </c>
      <c r="N22" s="25" t="n">
        <f aca="false">N7</f>
        <v>18.6708148579464</v>
      </c>
      <c r="O22" s="21" t="n">
        <v>15000</v>
      </c>
      <c r="P22" s="25" t="n">
        <f aca="false">B22*$H$2/(0.5*M22*1.225*H22^2)</f>
        <v>1.01686357516092</v>
      </c>
      <c r="Q22" s="25" t="n">
        <f aca="false">Q7*$A$2</f>
        <v>103.890212324097</v>
      </c>
      <c r="R22" s="21" t="n">
        <v>0.49</v>
      </c>
      <c r="S22" s="25" t="n">
        <f aca="false">S7</f>
        <v>0.00257559585069675</v>
      </c>
      <c r="T22" s="21" t="n">
        <v>9086.7</v>
      </c>
      <c r="U22" s="21" t="n">
        <v>80187.1</v>
      </c>
      <c r="V22" s="21" t="n">
        <v>85602.3</v>
      </c>
    </row>
    <row r="23" customFormat="false" ht="15.75" hidden="false" customHeight="false" outlineLevel="0" collapsed="false">
      <c r="A23" s="20" t="s">
        <v>72</v>
      </c>
      <c r="B23" s="21" t="n">
        <v>11000</v>
      </c>
      <c r="C23" s="21" t="n">
        <v>18000</v>
      </c>
      <c r="D23" s="21" t="n">
        <v>98.84</v>
      </c>
      <c r="E23" s="21" t="n">
        <v>163.16</v>
      </c>
      <c r="F23" s="22" t="n">
        <f aca="false">E23*1000/(B23*9.81)</f>
        <v>1.51200074135854</v>
      </c>
      <c r="G23" s="22" t="n">
        <f aca="false">E23*1000/(C23*9.81)</f>
        <v>0.924000453052441</v>
      </c>
      <c r="H23" s="25" t="n">
        <f aca="false">H8*$A$2</f>
        <v>61.111111116</v>
      </c>
      <c r="I23" s="25" t="n">
        <f aca="false">I8*$A$2</f>
        <v>127.777777788</v>
      </c>
      <c r="J23" s="25" t="n">
        <f aca="false">J8*$A$2</f>
        <v>333.33333336</v>
      </c>
      <c r="K23" s="25" t="n">
        <f aca="false">K8*$A$2</f>
        <v>472.22222226</v>
      </c>
      <c r="L23" s="25" t="n">
        <f aca="false">L8*$A$2</f>
        <v>680.55555561</v>
      </c>
      <c r="M23" s="21" t="n">
        <v>38</v>
      </c>
      <c r="N23" s="25" t="n">
        <f aca="false">N8</f>
        <v>21.5811673897803</v>
      </c>
      <c r="O23" s="21" t="n">
        <v>18000</v>
      </c>
      <c r="P23" s="25" t="n">
        <f aca="false">B23*$H$2/(0.5*M23*1.225*H23^2)</f>
        <v>1.24145688877705</v>
      </c>
      <c r="Q23" s="25" t="n">
        <f aca="false">Q8*$A$2</f>
        <v>78.1735960033111</v>
      </c>
      <c r="R23" s="23" t="n">
        <v>0.55</v>
      </c>
      <c r="S23" s="25" t="n">
        <f aca="false">S8</f>
        <v>0.00217196125046297</v>
      </c>
    </row>
    <row r="24" customFormat="false" ht="15.75" hidden="false" customHeight="false" outlineLevel="0" collapsed="false">
      <c r="A24" s="20" t="s">
        <v>73</v>
      </c>
      <c r="B24" s="23" t="n">
        <v>7200</v>
      </c>
      <c r="C24" s="21" t="n">
        <v>10400</v>
      </c>
      <c r="D24" s="21" t="n">
        <v>40.18</v>
      </c>
      <c r="E24" s="21" t="n">
        <v>69.58</v>
      </c>
      <c r="F24" s="22" t="n">
        <f aca="false">E24*1000/(B24*9.81)</f>
        <v>0.985105901008042</v>
      </c>
      <c r="G24" s="22" t="n">
        <f aca="false">E24*1000/(C24*9.81)</f>
        <v>0.681996393005567</v>
      </c>
      <c r="H24" s="25" t="n">
        <f aca="false">H9*$A$2</f>
        <v>97.22222223</v>
      </c>
      <c r="I24" s="25" t="n">
        <f aca="false">I9*$A$2</f>
        <v>142.00000001136</v>
      </c>
      <c r="J24" s="25" t="n">
        <f aca="false">J9*$A$2</f>
        <v>223.8888889068</v>
      </c>
      <c r="K24" s="25" t="n">
        <f aca="false">K9*$A$2</f>
        <v>361.11111114</v>
      </c>
      <c r="L24" s="25" t="n">
        <f aca="false">L9*$A$2</f>
        <v>604.166666715</v>
      </c>
      <c r="M24" s="21" t="n">
        <v>23</v>
      </c>
      <c r="N24" s="25" t="n">
        <f aca="false">N9</f>
        <v>11.4379637970598</v>
      </c>
      <c r="O24" s="21" t="n">
        <v>17500</v>
      </c>
      <c r="P24" s="25" t="n">
        <f aca="false">B24*$H$2/(0.5*M24*1.225*H24^2)</f>
        <v>0.530440270092411</v>
      </c>
      <c r="Q24" s="25" t="n">
        <f aca="false">Q9*$A$2</f>
        <v>116.846569121607</v>
      </c>
      <c r="R24" s="23" t="n">
        <v>0.46</v>
      </c>
      <c r="S24" s="25" t="n">
        <f aca="false">S9</f>
        <v>0.00189382042676156</v>
      </c>
    </row>
    <row r="25" customFormat="false" ht="15.75" hidden="false" customHeight="false" outlineLevel="0" collapsed="false">
      <c r="A25" s="20" t="s">
        <v>74</v>
      </c>
      <c r="B25" s="21" t="n">
        <v>11321</v>
      </c>
      <c r="C25" s="21" t="n">
        <v>20865</v>
      </c>
      <c r="D25" s="21" t="n">
        <v>80.64</v>
      </c>
      <c r="E25" s="21" t="n">
        <v>80.64</v>
      </c>
      <c r="F25" s="22" t="n">
        <f aca="false">E25*1000/(B25*9.81)</f>
        <v>0.726100475774095</v>
      </c>
      <c r="G25" s="22" t="n">
        <f aca="false">E25*1000/(C25*9.81)</f>
        <v>0.393969972980519</v>
      </c>
      <c r="H25" s="25" t="n">
        <f aca="false">H10*$A$2</f>
        <v>87.500000007</v>
      </c>
      <c r="I25" s="25" t="n">
        <f aca="false">I10*$A$2</f>
        <v>118.6111111206</v>
      </c>
      <c r="J25" s="25" t="n">
        <f aca="false">J10*$A$2</f>
        <v>155.555555568</v>
      </c>
      <c r="K25" s="25" t="n">
        <f aca="false">K10*$A$2</f>
        <v>196.1111111268</v>
      </c>
      <c r="L25" s="25" t="n">
        <f aca="false">L10*$A$2</f>
        <v>231.3888889074</v>
      </c>
      <c r="M25" s="21" t="n">
        <v>47</v>
      </c>
      <c r="N25" s="25" t="n">
        <f aca="false">N10</f>
        <v>25.7766783211413</v>
      </c>
      <c r="O25" s="21" t="n">
        <v>13700</v>
      </c>
      <c r="P25" s="25" t="n">
        <f aca="false">B25*$H$2/(0.5*M25*1.225*H25^2)</f>
        <v>0.50388768076158</v>
      </c>
      <c r="Q25" s="25" t="n">
        <f aca="false">Q10*$A$2</f>
        <v>118.788624195954</v>
      </c>
      <c r="R25" s="23" t="n">
        <v>1.645</v>
      </c>
      <c r="S25" s="25" t="n">
        <f aca="false">S10</f>
        <v>0.00208100978908295</v>
      </c>
    </row>
    <row r="26" customFormat="false" ht="15.75" hidden="false" customHeight="false" outlineLevel="0" collapsed="false">
      <c r="A26" s="20" t="s">
        <v>30</v>
      </c>
      <c r="B26" s="21" t="n">
        <v>83915</v>
      </c>
      <c r="C26" s="21" t="n">
        <v>157397</v>
      </c>
      <c r="D26" s="21" t="n">
        <v>384</v>
      </c>
      <c r="E26" s="21" t="n">
        <v>384</v>
      </c>
      <c r="F26" s="22" t="n">
        <f aca="false">E26*1000/(B26*9.81)</f>
        <v>0.466468818290534</v>
      </c>
      <c r="G26" s="22" t="n">
        <f aca="false">E26*1000/(C26*9.81)</f>
        <v>0.248694262831249</v>
      </c>
      <c r="H26" s="25" t="n">
        <f aca="false">H11*$A$2</f>
        <v>111.11111112</v>
      </c>
      <c r="I26" s="25" t="n">
        <f aca="false">I11*$A$2</f>
        <v>143.3333333448</v>
      </c>
      <c r="J26" s="25" t="n">
        <f aca="false">J11*$A$2</f>
        <v>161.111111124</v>
      </c>
      <c r="K26" s="25" t="n">
        <f aca="false">K11*$A$2</f>
        <v>194.44444446</v>
      </c>
      <c r="L26" s="25" t="n">
        <f aca="false">L11*$A$2</f>
        <v>237.2222222412</v>
      </c>
      <c r="M26" s="21" t="n">
        <v>283</v>
      </c>
      <c r="N26" s="25" t="n">
        <f aca="false">N11</f>
        <v>130.839268419811</v>
      </c>
      <c r="O26" s="21" t="n">
        <v>8800</v>
      </c>
      <c r="P26" s="25" t="n">
        <f aca="false">B26*$H$2/(0.5*M26*1.225*H26^2)</f>
        <v>0.384681319041357</v>
      </c>
      <c r="Q26" s="25" t="n">
        <f aca="false">Q11*$A$2</f>
        <v>152.172409167576</v>
      </c>
      <c r="R26" s="23" t="n">
        <v>14.5</v>
      </c>
      <c r="S26" s="25" t="n">
        <f aca="false">S11</f>
        <v>0.00114357868111361</v>
      </c>
    </row>
    <row r="27" customFormat="false" ht="15.75" hidden="false" customHeight="false" outlineLevel="0" collapsed="false">
      <c r="A27" s="20" t="s">
        <v>75</v>
      </c>
      <c r="B27" s="21" t="n">
        <v>3463</v>
      </c>
      <c r="C27" s="21" t="n">
        <v>5490</v>
      </c>
      <c r="D27" s="21" t="n">
        <v>14.68</v>
      </c>
      <c r="E27" s="21" t="n">
        <v>17</v>
      </c>
      <c r="F27" s="22" t="n">
        <f aca="false">E27*1000/(B27*9.81)</f>
        <v>0.500411662182095</v>
      </c>
      <c r="G27" s="22" t="n">
        <f aca="false">E27*1000/(C27*9.81)</f>
        <v>0.315651290735263</v>
      </c>
      <c r="H27" s="25" t="n">
        <f aca="false">H12*$A$2</f>
        <v>44.444444448</v>
      </c>
      <c r="I27" s="25" t="n">
        <f aca="false">I12*$A$2</f>
        <v>76.83333333948</v>
      </c>
      <c r="J27" s="25" t="n">
        <f aca="false">J12*$A$2</f>
        <v>161.9444444574</v>
      </c>
      <c r="K27" s="25" t="n">
        <f aca="false">K12*$A$2</f>
        <v>183.333333348</v>
      </c>
      <c r="L27" s="25" t="n">
        <f aca="false">L12*$A$2</f>
        <v>197.222222238</v>
      </c>
      <c r="M27" s="21" t="n">
        <v>21.8</v>
      </c>
      <c r="N27" s="25" t="n">
        <f aca="false">N12</f>
        <v>18.79083380559</v>
      </c>
      <c r="O27" s="21" t="n">
        <v>12800</v>
      </c>
      <c r="P27" s="25" t="n">
        <f aca="false">B27*$H$2/(0.5*M27*1.225*H27^2)</f>
        <v>1.28802397938575</v>
      </c>
      <c r="Q27" s="25" t="n">
        <f aca="false">Q12*$A$2</f>
        <v>55.9599616732923</v>
      </c>
      <c r="R27" s="21" t="n">
        <v>0.35</v>
      </c>
      <c r="S27" s="25" t="n">
        <f aca="false">S12</f>
        <v>0.00235934751666947</v>
      </c>
    </row>
    <row r="35" customFormat="false" ht="15.75" hidden="false" customHeight="false" outlineLevel="0" collapsed="false">
      <c r="A35" s="1" t="s">
        <v>83</v>
      </c>
    </row>
    <row r="36" customFormat="false" ht="15.75" hidden="false" customHeight="false" outlineLevel="0" collapsed="false">
      <c r="A36" s="1" t="s">
        <v>0</v>
      </c>
      <c r="B36" s="1" t="s">
        <v>50</v>
      </c>
      <c r="C36" s="1" t="s">
        <v>51</v>
      </c>
      <c r="D36" s="1" t="s">
        <v>52</v>
      </c>
      <c r="E36" s="1" t="s">
        <v>53</v>
      </c>
      <c r="F36" s="1" t="s">
        <v>54</v>
      </c>
      <c r="G36" s="1" t="s">
        <v>55</v>
      </c>
      <c r="H36" s="1" t="s">
        <v>84</v>
      </c>
      <c r="I36" s="1" t="s">
        <v>85</v>
      </c>
      <c r="J36" s="1" t="s">
        <v>86</v>
      </c>
      <c r="K36" s="1" t="s">
        <v>87</v>
      </c>
      <c r="L36" s="1" t="s">
        <v>88</v>
      </c>
      <c r="M36" s="1" t="s">
        <v>61</v>
      </c>
      <c r="N36" s="1" t="s">
        <v>62</v>
      </c>
      <c r="O36" s="1" t="s">
        <v>63</v>
      </c>
      <c r="P36" s="1" t="s">
        <v>64</v>
      </c>
      <c r="Q36" s="1" t="s">
        <v>89</v>
      </c>
      <c r="R36" s="1" t="s">
        <v>66</v>
      </c>
      <c r="S36" s="1" t="s">
        <v>67</v>
      </c>
    </row>
    <row r="37" customFormat="false" ht="15.75" hidden="false" customHeight="false" outlineLevel="0" collapsed="false">
      <c r="A37" s="20" t="s">
        <v>71</v>
      </c>
      <c r="B37" s="21" t="n">
        <v>8573</v>
      </c>
      <c r="C37" s="21" t="n">
        <v>19187</v>
      </c>
      <c r="D37" s="21" t="n">
        <v>76.31</v>
      </c>
      <c r="E37" s="21" t="n">
        <v>131</v>
      </c>
      <c r="F37" s="22" t="n">
        <f aca="false">E37*1000/(B37*9.81)</f>
        <v>1.557648511976</v>
      </c>
      <c r="G37" s="22" t="n">
        <f aca="false">E37*1000/(C37*9.81)</f>
        <v>0.695977520882381</v>
      </c>
      <c r="H37" s="25" t="n">
        <f aca="false">H22*$C$2</f>
        <v>3.4722222225</v>
      </c>
      <c r="I37" s="25" t="n">
        <f aca="false">I22*$C$2</f>
        <v>6.063888889374</v>
      </c>
      <c r="J37" s="25" t="n">
        <f aca="false">J22*$C$2</f>
        <v>12.95833333437</v>
      </c>
      <c r="K37" s="25" t="n">
        <f aca="false">K22*$C$2</f>
        <v>20.58333333498</v>
      </c>
      <c r="L37" s="25" t="n">
        <f aca="false">L22*$C$2</f>
        <v>30.25000000242</v>
      </c>
      <c r="M37" s="21" t="n">
        <v>28</v>
      </c>
      <c r="N37" s="25" t="n">
        <f aca="false">N22</f>
        <v>18.6708148579464</v>
      </c>
      <c r="O37" s="21" t="n">
        <v>15000</v>
      </c>
      <c r="P37" s="25" t="n">
        <f aca="false">B37*$H$2/(0.5*M37*1.225*H37^2)*$C$2^2</f>
        <v>1.01686357516092</v>
      </c>
      <c r="Q37" s="25" t="n">
        <f aca="false">Q22*$C$2</f>
        <v>5.19451061620485</v>
      </c>
      <c r="R37" s="21" t="n">
        <v>0.49</v>
      </c>
      <c r="S37" s="25" t="n">
        <f aca="false">S22</f>
        <v>0.00257559585069675</v>
      </c>
    </row>
    <row r="38" customFormat="false" ht="15.75" hidden="false" customHeight="false" outlineLevel="0" collapsed="false">
      <c r="A38" s="20" t="s">
        <v>72</v>
      </c>
      <c r="B38" s="21" t="n">
        <v>11000</v>
      </c>
      <c r="C38" s="21" t="n">
        <v>18000</v>
      </c>
      <c r="D38" s="21" t="n">
        <v>98.84</v>
      </c>
      <c r="E38" s="21" t="n">
        <v>163.16</v>
      </c>
      <c r="F38" s="22" t="n">
        <f aca="false">E38*1000/(B38*9.81)</f>
        <v>1.51200074135854</v>
      </c>
      <c r="G38" s="22" t="n">
        <f aca="false">E38*1000/(C38*9.81)</f>
        <v>0.924000453052441</v>
      </c>
      <c r="H38" s="25" t="n">
        <f aca="false">H23*$C$2</f>
        <v>3.0555555558</v>
      </c>
      <c r="I38" s="25" t="n">
        <f aca="false">I23*$C$2</f>
        <v>6.3888888894</v>
      </c>
      <c r="J38" s="25" t="n">
        <f aca="false">J23*$C$2</f>
        <v>16.666666668</v>
      </c>
      <c r="K38" s="25" t="n">
        <f aca="false">K23*$C$2</f>
        <v>23.611111113</v>
      </c>
      <c r="L38" s="25" t="n">
        <f aca="false">L23*$C$2</f>
        <v>34.0277777805</v>
      </c>
      <c r="M38" s="21" t="n">
        <v>38</v>
      </c>
      <c r="N38" s="25" t="n">
        <f aca="false">N23</f>
        <v>21.5811673897803</v>
      </c>
      <c r="O38" s="21" t="n">
        <v>18000</v>
      </c>
      <c r="P38" s="25" t="n">
        <f aca="false">B38*$H$2/(0.5*M38*1.225*H38^2)*$C$2^2</f>
        <v>1.24145688877705</v>
      </c>
      <c r="Q38" s="25" t="n">
        <f aca="false">Q23*$C$2</f>
        <v>3.90867980016555</v>
      </c>
      <c r="R38" s="23" t="n">
        <v>0.55</v>
      </c>
      <c r="S38" s="25" t="n">
        <f aca="false">S23</f>
        <v>0.00217196125046297</v>
      </c>
    </row>
    <row r="39" customFormat="false" ht="15.75" hidden="false" customHeight="false" outlineLevel="0" collapsed="false">
      <c r="A39" s="20" t="s">
        <v>73</v>
      </c>
      <c r="B39" s="23" t="n">
        <v>7200</v>
      </c>
      <c r="C39" s="21" t="n">
        <v>10400</v>
      </c>
      <c r="D39" s="21" t="n">
        <v>40.18</v>
      </c>
      <c r="E39" s="21" t="n">
        <v>69.58</v>
      </c>
      <c r="F39" s="22" t="n">
        <f aca="false">E39*1000/(B39*9.81)</f>
        <v>0.985105901008042</v>
      </c>
      <c r="G39" s="22" t="n">
        <f aca="false">E39*1000/(C39*9.81)</f>
        <v>0.681996393005567</v>
      </c>
      <c r="H39" s="25" t="n">
        <f aca="false">H24*$C$2</f>
        <v>4.8611111115</v>
      </c>
      <c r="I39" s="25" t="n">
        <f aca="false">I24*$C$2</f>
        <v>7.100000000568</v>
      </c>
      <c r="J39" s="25" t="n">
        <f aca="false">J24*$C$2</f>
        <v>11.19444444534</v>
      </c>
      <c r="K39" s="25" t="n">
        <f aca="false">K24*$C$2</f>
        <v>18.055555557</v>
      </c>
      <c r="L39" s="25" t="n">
        <f aca="false">L24*$C$2</f>
        <v>30.20833333575</v>
      </c>
      <c r="M39" s="21" t="n">
        <v>23</v>
      </c>
      <c r="N39" s="25" t="n">
        <f aca="false">N24</f>
        <v>11.4379637970598</v>
      </c>
      <c r="O39" s="21" t="n">
        <v>17500</v>
      </c>
      <c r="P39" s="25" t="n">
        <f aca="false">B39*$H$2/(0.5*M39*1.225*H39^2)*$C$2^2</f>
        <v>0.530440270092411</v>
      </c>
      <c r="Q39" s="25" t="n">
        <f aca="false">Q24*$C$2</f>
        <v>5.84232845608033</v>
      </c>
      <c r="R39" s="23" t="n">
        <v>0.46</v>
      </c>
      <c r="S39" s="25" t="n">
        <f aca="false">S24</f>
        <v>0.00189382042676156</v>
      </c>
    </row>
    <row r="40" customFormat="false" ht="15.75" hidden="false" customHeight="false" outlineLevel="0" collapsed="false">
      <c r="A40" s="20" t="s">
        <v>74</v>
      </c>
      <c r="B40" s="21" t="n">
        <v>11321</v>
      </c>
      <c r="C40" s="21" t="n">
        <v>20865</v>
      </c>
      <c r="D40" s="21" t="n">
        <v>80.64</v>
      </c>
      <c r="E40" s="21" t="n">
        <v>80.64</v>
      </c>
      <c r="F40" s="22" t="n">
        <f aca="false">E40*1000/(B40*9.81)</f>
        <v>0.726100475774095</v>
      </c>
      <c r="G40" s="22" t="n">
        <f aca="false">E40*1000/(C40*9.81)</f>
        <v>0.393969972980519</v>
      </c>
      <c r="H40" s="25" t="n">
        <f aca="false">H25*$C$2</f>
        <v>4.37500000035</v>
      </c>
      <c r="I40" s="25" t="n">
        <f aca="false">I25*$C$2</f>
        <v>5.93055555603</v>
      </c>
      <c r="J40" s="25" t="n">
        <f aca="false">J25*$C$2</f>
        <v>7.7777777784</v>
      </c>
      <c r="K40" s="25" t="n">
        <f aca="false">K25*$C$2</f>
        <v>9.80555555634</v>
      </c>
      <c r="L40" s="25" t="n">
        <f aca="false">L25*$C$2</f>
        <v>11.56944444537</v>
      </c>
      <c r="M40" s="21" t="n">
        <v>47</v>
      </c>
      <c r="N40" s="25" t="n">
        <f aca="false">N25</f>
        <v>25.7766783211413</v>
      </c>
      <c r="O40" s="21" t="n">
        <v>13700</v>
      </c>
      <c r="P40" s="25" t="n">
        <f aca="false">B40*$H$2/(0.5*M40*1.225*H40^2)*$C$2^2</f>
        <v>0.50388768076158</v>
      </c>
      <c r="Q40" s="25" t="n">
        <f aca="false">Q25*$C$2</f>
        <v>5.9394312097977</v>
      </c>
      <c r="R40" s="23" t="n">
        <v>1.645</v>
      </c>
      <c r="S40" s="25" t="n">
        <f aca="false">S25</f>
        <v>0.00208100978908295</v>
      </c>
    </row>
    <row r="41" customFormat="false" ht="15.75" hidden="false" customHeight="false" outlineLevel="0" collapsed="false">
      <c r="A41" s="20" t="s">
        <v>30</v>
      </c>
      <c r="B41" s="21" t="n">
        <v>83915</v>
      </c>
      <c r="C41" s="21" t="n">
        <v>157397</v>
      </c>
      <c r="D41" s="21" t="n">
        <v>384</v>
      </c>
      <c r="E41" s="21" t="n">
        <v>384</v>
      </c>
      <c r="F41" s="22" t="n">
        <f aca="false">E41*1000/(B41*9.81)</f>
        <v>0.466468818290534</v>
      </c>
      <c r="G41" s="22" t="n">
        <f aca="false">E41*1000/(C41*9.81)</f>
        <v>0.248694262831249</v>
      </c>
      <c r="H41" s="25" t="n">
        <f aca="false">H26*$C$2</f>
        <v>5.555555556</v>
      </c>
      <c r="I41" s="25" t="n">
        <f aca="false">I26*$C$2</f>
        <v>7.16666666724</v>
      </c>
      <c r="J41" s="25" t="n">
        <f aca="false">J26*$C$2</f>
        <v>8.0555555562</v>
      </c>
      <c r="K41" s="25" t="n">
        <f aca="false">K26*$C$2</f>
        <v>9.722222223</v>
      </c>
      <c r="L41" s="25" t="n">
        <f aca="false">L26*$C$2</f>
        <v>11.86111111206</v>
      </c>
      <c r="M41" s="21" t="n">
        <v>283</v>
      </c>
      <c r="N41" s="25" t="n">
        <f aca="false">N26</f>
        <v>130.839268419811</v>
      </c>
      <c r="O41" s="21" t="n">
        <v>8800</v>
      </c>
      <c r="P41" s="25" t="n">
        <f aca="false">B41*$H$2/(0.5*M41*1.225*H41^2)*$C$2^2</f>
        <v>0.384681319041357</v>
      </c>
      <c r="Q41" s="25" t="n">
        <f aca="false">Q26*$C$2</f>
        <v>7.6086204583788</v>
      </c>
      <c r="R41" s="23" t="n">
        <v>14.5</v>
      </c>
      <c r="S41" s="25" t="n">
        <f aca="false">S26</f>
        <v>0.00114357868111361</v>
      </c>
    </row>
    <row r="42" customFormat="false" ht="15.75" hidden="false" customHeight="false" outlineLevel="0" collapsed="false">
      <c r="A42" s="20" t="s">
        <v>75</v>
      </c>
      <c r="B42" s="21" t="n">
        <v>3463</v>
      </c>
      <c r="C42" s="21" t="n">
        <v>5490</v>
      </c>
      <c r="D42" s="21" t="n">
        <v>14.68</v>
      </c>
      <c r="E42" s="21" t="n">
        <v>17</v>
      </c>
      <c r="F42" s="22" t="n">
        <f aca="false">E42*1000/(B42*9.81)</f>
        <v>0.500411662182095</v>
      </c>
      <c r="G42" s="22" t="n">
        <f aca="false">E42*1000/(C42*9.81)</f>
        <v>0.315651290735263</v>
      </c>
      <c r="H42" s="25" t="n">
        <f aca="false">H27*$C$2</f>
        <v>2.2222222224</v>
      </c>
      <c r="I42" s="25" t="n">
        <f aca="false">I27*$C$2</f>
        <v>3.841666666974</v>
      </c>
      <c r="J42" s="25" t="n">
        <f aca="false">J27*$C$2</f>
        <v>8.09722222287</v>
      </c>
      <c r="K42" s="25" t="n">
        <f aca="false">K27*$C$2</f>
        <v>9.1666666674</v>
      </c>
      <c r="L42" s="25" t="n">
        <f aca="false">L27*$C$2</f>
        <v>9.8611111119</v>
      </c>
      <c r="M42" s="21" t="n">
        <v>21.8</v>
      </c>
      <c r="N42" s="25" t="n">
        <f aca="false">N27</f>
        <v>18.79083380559</v>
      </c>
      <c r="O42" s="21" t="n">
        <v>12800</v>
      </c>
      <c r="P42" s="25" t="n">
        <f aca="false">B42*$H$2/(0.5*M42*1.225*H42^2)*$C$2^2</f>
        <v>1.28802397938575</v>
      </c>
      <c r="Q42" s="25" t="n">
        <f aca="false">Q27*$C$2</f>
        <v>2.79799808366461</v>
      </c>
      <c r="R42" s="21" t="n">
        <v>0.35</v>
      </c>
      <c r="S42" s="25" t="n">
        <f aca="false">S27</f>
        <v>0.00235934751666947</v>
      </c>
    </row>
    <row r="50" customFormat="false" ht="15.75" hidden="false" customHeight="false" outlineLevel="0" collapsed="false">
      <c r="A50" s="1" t="s">
        <v>90</v>
      </c>
    </row>
    <row r="51" customFormat="false" ht="15.75" hidden="false" customHeight="false" outlineLevel="0" collapsed="false">
      <c r="A51" s="1" t="s">
        <v>0</v>
      </c>
      <c r="B51" s="1" t="s">
        <v>50</v>
      </c>
      <c r="C51" s="1" t="s">
        <v>51</v>
      </c>
      <c r="D51" s="1" t="s">
        <v>52</v>
      </c>
      <c r="E51" s="1" t="s">
        <v>53</v>
      </c>
      <c r="F51" s="1" t="s">
        <v>54</v>
      </c>
      <c r="G51" s="1" t="s">
        <v>55</v>
      </c>
      <c r="H51" s="1" t="s">
        <v>77</v>
      </c>
      <c r="I51" s="1" t="s">
        <v>78</v>
      </c>
      <c r="J51" s="1" t="s">
        <v>79</v>
      </c>
      <c r="K51" s="1" t="s">
        <v>80</v>
      </c>
      <c r="L51" s="1" t="s">
        <v>81</v>
      </c>
      <c r="M51" s="1" t="s">
        <v>61</v>
      </c>
      <c r="N51" s="1" t="s">
        <v>62</v>
      </c>
      <c r="O51" s="1" t="s">
        <v>63</v>
      </c>
      <c r="P51" s="1" t="s">
        <v>64</v>
      </c>
      <c r="Q51" s="1" t="s">
        <v>82</v>
      </c>
      <c r="R51" s="1" t="s">
        <v>66</v>
      </c>
      <c r="S51" s="1" t="s">
        <v>67</v>
      </c>
    </row>
    <row r="52" customFormat="false" ht="15.75" hidden="false" customHeight="false" outlineLevel="0" collapsed="false">
      <c r="A52" s="20" t="s">
        <v>71</v>
      </c>
      <c r="B52" s="21" t="n">
        <v>8573</v>
      </c>
      <c r="C52" s="21" t="n">
        <v>19187</v>
      </c>
      <c r="D52" s="21" t="n">
        <v>76.31</v>
      </c>
      <c r="E52" s="21" t="n">
        <v>131</v>
      </c>
      <c r="F52" s="22" t="n">
        <f aca="false">E52*1000/(B52*9.81)</f>
        <v>1.557648511976</v>
      </c>
      <c r="G52" s="22" t="n">
        <f aca="false">E52*1000/(C52*9.81)</f>
        <v>0.695977520882381</v>
      </c>
      <c r="H52" s="25" t="n">
        <f aca="false">H22*$D$2</f>
        <v>8.68055555625</v>
      </c>
      <c r="I52" s="25" t="n">
        <f aca="false">I22*$D$2</f>
        <v>15.159722223435</v>
      </c>
      <c r="J52" s="25" t="n">
        <f aca="false">J22*$D$2</f>
        <v>32.395833335925</v>
      </c>
      <c r="K52" s="25" t="n">
        <f aca="false">K22*$D$2</f>
        <v>51.45833333745</v>
      </c>
      <c r="L52" s="25" t="n">
        <f aca="false">L22*$D$2</f>
        <v>75.62500000605</v>
      </c>
      <c r="M52" s="21" t="n">
        <v>28</v>
      </c>
      <c r="N52" s="25" t="n">
        <f aca="false">N37</f>
        <v>18.6708148579464</v>
      </c>
      <c r="O52" s="25" t="n">
        <f aca="false">O7*$F$2</f>
        <v>750</v>
      </c>
      <c r="P52" s="25" t="n">
        <f aca="false">B52*$H$2/(0.5*M52*1.225*H52^2)</f>
        <v>65.0792688102987</v>
      </c>
      <c r="Q52" s="25" t="n">
        <f aca="false">Q22*$D$2</f>
        <v>12.9862765405121</v>
      </c>
      <c r="R52" s="21" t="n">
        <v>0.49</v>
      </c>
      <c r="S52" s="25" t="n">
        <f aca="false">S22/$D$2^2</f>
        <v>0.164838134444592</v>
      </c>
    </row>
    <row r="53" customFormat="false" ht="15.75" hidden="false" customHeight="false" outlineLevel="0" collapsed="false">
      <c r="A53" s="20" t="s">
        <v>72</v>
      </c>
      <c r="B53" s="21" t="n">
        <v>11000</v>
      </c>
      <c r="C53" s="21" t="n">
        <v>18000</v>
      </c>
      <c r="D53" s="21" t="n">
        <v>98.84</v>
      </c>
      <c r="E53" s="21" t="n">
        <v>163.16</v>
      </c>
      <c r="F53" s="22" t="n">
        <f aca="false">E53*1000/(B53*9.81)</f>
        <v>1.51200074135854</v>
      </c>
      <c r="G53" s="22" t="n">
        <f aca="false">E53*1000/(C53*9.81)</f>
        <v>0.924000453052441</v>
      </c>
      <c r="H53" s="25" t="n">
        <f aca="false">H23*$D$2</f>
        <v>7.6388888895</v>
      </c>
      <c r="I53" s="25" t="n">
        <f aca="false">I23*$D$2</f>
        <v>15.9722222235</v>
      </c>
      <c r="J53" s="25" t="n">
        <f aca="false">J23*$D$2</f>
        <v>41.66666667</v>
      </c>
      <c r="K53" s="25" t="n">
        <f aca="false">K23*$D$2</f>
        <v>59.0277777825</v>
      </c>
      <c r="L53" s="25" t="n">
        <f aca="false">L23*$D$2</f>
        <v>85.06944445125</v>
      </c>
      <c r="M53" s="21" t="n">
        <v>38</v>
      </c>
      <c r="N53" s="25" t="n">
        <f aca="false">N38</f>
        <v>21.5811673897803</v>
      </c>
      <c r="O53" s="25" t="n">
        <f aca="false">O8*$F$2</f>
        <v>900</v>
      </c>
      <c r="P53" s="25" t="n">
        <f aca="false">B53*$H$2/(0.5*M53*1.225*H53^2)</f>
        <v>79.4532408817314</v>
      </c>
      <c r="Q53" s="25" t="n">
        <f aca="false">Q23*$D$2</f>
        <v>9.77169950041388</v>
      </c>
      <c r="R53" s="23" t="n">
        <v>0.55</v>
      </c>
      <c r="S53" s="25" t="n">
        <f aca="false">S23/$D$2^2</f>
        <v>0.13900552002963</v>
      </c>
    </row>
    <row r="54" customFormat="false" ht="15.75" hidden="false" customHeight="false" outlineLevel="0" collapsed="false">
      <c r="A54" s="20" t="s">
        <v>73</v>
      </c>
      <c r="B54" s="23" t="n">
        <v>7200</v>
      </c>
      <c r="C54" s="21" t="n">
        <v>10400</v>
      </c>
      <c r="D54" s="21" t="n">
        <v>40.18</v>
      </c>
      <c r="E54" s="21" t="n">
        <v>69.58</v>
      </c>
      <c r="F54" s="22" t="n">
        <f aca="false">E54*1000/(B54*9.81)</f>
        <v>0.985105901008042</v>
      </c>
      <c r="G54" s="22" t="n">
        <f aca="false">E54*1000/(C54*9.81)</f>
        <v>0.681996393005567</v>
      </c>
      <c r="H54" s="25" t="n">
        <f aca="false">H24*$D$2</f>
        <v>12.15277777875</v>
      </c>
      <c r="I54" s="25" t="n">
        <f aca="false">I24*$D$2</f>
        <v>17.75000000142</v>
      </c>
      <c r="J54" s="25" t="n">
        <f aca="false">J24*$D$2</f>
        <v>27.98611111335</v>
      </c>
      <c r="K54" s="25" t="n">
        <f aca="false">K24*$D$2</f>
        <v>45.1388888925</v>
      </c>
      <c r="L54" s="25" t="n">
        <f aca="false">L24*$D$2</f>
        <v>75.520833339375</v>
      </c>
      <c r="M54" s="21" t="n">
        <v>23</v>
      </c>
      <c r="N54" s="25" t="n">
        <f aca="false">N39</f>
        <v>11.4379637970598</v>
      </c>
      <c r="O54" s="25" t="n">
        <f aca="false">O9*$F$2</f>
        <v>875</v>
      </c>
      <c r="P54" s="25" t="n">
        <f aca="false">B54*$H$2/(0.5*M54*1.225*H54^2)</f>
        <v>33.9481772859143</v>
      </c>
      <c r="Q54" s="25" t="n">
        <f aca="false">Q24*$D$2</f>
        <v>14.6058211402008</v>
      </c>
      <c r="R54" s="23" t="n">
        <v>0.46</v>
      </c>
      <c r="S54" s="25" t="n">
        <f aca="false">S24/$D$2^2</f>
        <v>0.12120450731274</v>
      </c>
    </row>
    <row r="55" customFormat="false" ht="15.75" hidden="false" customHeight="false" outlineLevel="0" collapsed="false">
      <c r="A55" s="20" t="s">
        <v>74</v>
      </c>
      <c r="B55" s="21" t="n">
        <v>11321</v>
      </c>
      <c r="C55" s="21" t="n">
        <v>20865</v>
      </c>
      <c r="D55" s="21" t="n">
        <v>80.64</v>
      </c>
      <c r="E55" s="21" t="n">
        <v>80.64</v>
      </c>
      <c r="F55" s="22" t="n">
        <f aca="false">E55*1000/(B55*9.81)</f>
        <v>0.726100475774095</v>
      </c>
      <c r="G55" s="22" t="n">
        <f aca="false">E55*1000/(C55*9.81)</f>
        <v>0.393969972980519</v>
      </c>
      <c r="H55" s="25" t="n">
        <f aca="false">H25*$D$2</f>
        <v>10.937500000875</v>
      </c>
      <c r="I55" s="25" t="n">
        <f aca="false">I25*$D$2</f>
        <v>14.826388890075</v>
      </c>
      <c r="J55" s="25" t="n">
        <f aca="false">J25*$D$2</f>
        <v>19.444444446</v>
      </c>
      <c r="K55" s="25" t="n">
        <f aca="false">K25*$D$2</f>
        <v>24.51388889085</v>
      </c>
      <c r="L55" s="25" t="n">
        <f aca="false">L25*$D$2</f>
        <v>28.923611113425</v>
      </c>
      <c r="M55" s="21" t="n">
        <v>47</v>
      </c>
      <c r="N55" s="25" t="n">
        <f aca="false">N40</f>
        <v>25.7766783211413</v>
      </c>
      <c r="O55" s="25" t="n">
        <f aca="false">O10*$F$2</f>
        <v>685</v>
      </c>
      <c r="P55" s="25" t="n">
        <f aca="false">B55*$H$2/(0.5*M55*1.225*H55^2)</f>
        <v>32.2488115687411</v>
      </c>
      <c r="Q55" s="25" t="n">
        <f aca="false">Q25*$D$2</f>
        <v>14.8485780244943</v>
      </c>
      <c r="R55" s="23" t="n">
        <v>1.645</v>
      </c>
      <c r="S55" s="25" t="n">
        <f aca="false">S25/$D$2^2</f>
        <v>0.133184626501309</v>
      </c>
    </row>
    <row r="56" customFormat="false" ht="15.75" hidden="false" customHeight="false" outlineLevel="0" collapsed="false">
      <c r="A56" s="20" t="s">
        <v>30</v>
      </c>
      <c r="B56" s="21" t="n">
        <v>83915</v>
      </c>
      <c r="C56" s="21" t="n">
        <v>157397</v>
      </c>
      <c r="D56" s="21" t="n">
        <v>384</v>
      </c>
      <c r="E56" s="21" t="n">
        <v>384</v>
      </c>
      <c r="F56" s="22" t="n">
        <f aca="false">E56*1000/(B56*9.81)</f>
        <v>0.466468818290534</v>
      </c>
      <c r="G56" s="22" t="n">
        <f aca="false">E56*1000/(C56*9.81)</f>
        <v>0.248694262831249</v>
      </c>
      <c r="H56" s="25" t="n">
        <f aca="false">H26*$D$2</f>
        <v>13.88888889</v>
      </c>
      <c r="I56" s="25" t="n">
        <f aca="false">I26*$D$2</f>
        <v>17.9166666681</v>
      </c>
      <c r="J56" s="25" t="n">
        <f aca="false">J26*$D$2</f>
        <v>20.1388888905</v>
      </c>
      <c r="K56" s="25" t="n">
        <f aca="false">K26*$D$2</f>
        <v>24.3055555575</v>
      </c>
      <c r="L56" s="25" t="n">
        <f aca="false">L26*$D$2</f>
        <v>29.65277778015</v>
      </c>
      <c r="M56" s="21" t="n">
        <v>283</v>
      </c>
      <c r="N56" s="25" t="n">
        <f aca="false">N41</f>
        <v>130.839268419811</v>
      </c>
      <c r="O56" s="25" t="n">
        <f aca="false">O11*$F$2</f>
        <v>440</v>
      </c>
      <c r="P56" s="25" t="n">
        <f aca="false">B56*$H$2/(0.5*M56*1.225*H56^2)</f>
        <v>24.6196044186469</v>
      </c>
      <c r="Q56" s="25" t="n">
        <f aca="false">Q26*$D$2</f>
        <v>19.021551145947</v>
      </c>
      <c r="R56" s="23" t="n">
        <v>14.5</v>
      </c>
      <c r="S56" s="25" t="n">
        <f aca="false">S26/$D$2^2</f>
        <v>0.0731890355912713</v>
      </c>
    </row>
    <row r="57" customFormat="false" ht="15.75" hidden="false" customHeight="false" outlineLevel="0" collapsed="false">
      <c r="A57" s="20" t="s">
        <v>75</v>
      </c>
      <c r="B57" s="21" t="n">
        <v>3463</v>
      </c>
      <c r="C57" s="21" t="n">
        <v>5490</v>
      </c>
      <c r="D57" s="21" t="n">
        <v>14.68</v>
      </c>
      <c r="E57" s="21" t="n">
        <v>17</v>
      </c>
      <c r="F57" s="22" t="n">
        <f aca="false">E57*1000/(B57*9.81)</f>
        <v>0.500411662182095</v>
      </c>
      <c r="G57" s="22" t="n">
        <f aca="false">E57*1000/(C57*9.81)</f>
        <v>0.315651290735263</v>
      </c>
      <c r="H57" s="25" t="n">
        <f aca="false">H27*$D$2</f>
        <v>5.555555556</v>
      </c>
      <c r="I57" s="25" t="n">
        <f aca="false">I27*$D$2</f>
        <v>9.604166667435</v>
      </c>
      <c r="J57" s="25" t="n">
        <f aca="false">J27*$D$2</f>
        <v>20.243055557175</v>
      </c>
      <c r="K57" s="25" t="n">
        <f aca="false">K27*$D$2</f>
        <v>22.9166666685</v>
      </c>
      <c r="L57" s="25" t="n">
        <f aca="false">L27*$D$2</f>
        <v>24.65277777975</v>
      </c>
      <c r="M57" s="21" t="n">
        <v>21.8</v>
      </c>
      <c r="N57" s="25" t="n">
        <f aca="false">N42</f>
        <v>18.79083380559</v>
      </c>
      <c r="O57" s="25" t="n">
        <f aca="false">O12*$F$2</f>
        <v>640</v>
      </c>
      <c r="P57" s="25" t="n">
        <f aca="false">B57*$H$2/(0.5*M57*1.225*H57^2)</f>
        <v>82.4335346806882</v>
      </c>
      <c r="Q57" s="25" t="n">
        <f aca="false">Q27*$D$2</f>
        <v>6.99499520916153</v>
      </c>
      <c r="R57" s="21" t="n">
        <v>0.35</v>
      </c>
      <c r="S57" s="25" t="n">
        <f aca="false">S27/$D$2^2</f>
        <v>0.150998241066846</v>
      </c>
    </row>
    <row r="65" customFormat="false" ht="15.75" hidden="false" customHeight="false" outlineLevel="0" collapsed="false">
      <c r="A65" s="1" t="s">
        <v>91</v>
      </c>
    </row>
    <row r="66" customFormat="false" ht="15.75" hidden="false" customHeight="false" outlineLevel="0" collapsed="false">
      <c r="A66" s="1" t="s">
        <v>0</v>
      </c>
      <c r="B66" s="1" t="s">
        <v>50</v>
      </c>
      <c r="C66" s="1" t="s">
        <v>51</v>
      </c>
      <c r="D66" s="1" t="s">
        <v>52</v>
      </c>
      <c r="E66" s="1" t="s">
        <v>53</v>
      </c>
      <c r="F66" s="1" t="s">
        <v>54</v>
      </c>
      <c r="G66" s="1" t="s">
        <v>55</v>
      </c>
      <c r="H66" s="1" t="s">
        <v>84</v>
      </c>
      <c r="I66" s="1" t="s">
        <v>85</v>
      </c>
      <c r="J66" s="1" t="s">
        <v>86</v>
      </c>
      <c r="K66" s="1" t="s">
        <v>87</v>
      </c>
      <c r="L66" s="1" t="s">
        <v>88</v>
      </c>
      <c r="M66" s="1" t="s">
        <v>61</v>
      </c>
      <c r="N66" s="1" t="s">
        <v>62</v>
      </c>
      <c r="O66" s="1" t="s">
        <v>63</v>
      </c>
      <c r="P66" s="1" t="s">
        <v>64</v>
      </c>
      <c r="Q66" s="1" t="s">
        <v>89</v>
      </c>
      <c r="R66" s="1" t="s">
        <v>66</v>
      </c>
      <c r="S66" s="1" t="s">
        <v>67</v>
      </c>
    </row>
    <row r="67" customFormat="false" ht="15.75" hidden="false" customHeight="false" outlineLevel="0" collapsed="false">
      <c r="A67" s="20" t="s">
        <v>71</v>
      </c>
      <c r="B67" s="21" t="n">
        <v>8573</v>
      </c>
      <c r="C67" s="21" t="n">
        <v>19187</v>
      </c>
      <c r="D67" s="21" t="n">
        <v>76.31</v>
      </c>
      <c r="E67" s="21" t="n">
        <v>131</v>
      </c>
      <c r="F67" s="22" t="n">
        <f aca="false">E67*1000/(B67*9.81)</f>
        <v>1.557648511976</v>
      </c>
      <c r="G67" s="22" t="n">
        <f aca="false">E67*1000/(C67*9.81)</f>
        <v>0.695977520882381</v>
      </c>
      <c r="H67" s="25" t="n">
        <f aca="false">H52*$C$2</f>
        <v>0.4340277778125</v>
      </c>
      <c r="I67" s="25" t="n">
        <f aca="false">I52*$C$2</f>
        <v>0.75798611117175</v>
      </c>
      <c r="J67" s="25" t="n">
        <f aca="false">J52*$C$2</f>
        <v>1.61979166679625</v>
      </c>
      <c r="K67" s="25" t="n">
        <f aca="false">K52*$C$2</f>
        <v>2.5729166668725</v>
      </c>
      <c r="L67" s="25" t="n">
        <f aca="false">L52*$C$2</f>
        <v>3.7812500003025</v>
      </c>
      <c r="M67" s="21" t="n">
        <v>28</v>
      </c>
      <c r="N67" s="25" t="n">
        <f aca="false">N52</f>
        <v>18.6708148579464</v>
      </c>
      <c r="O67" s="25" t="n">
        <f aca="false">O22*$F$2</f>
        <v>750</v>
      </c>
      <c r="P67" s="25" t="n">
        <f aca="false">B67*$H$2/(0.5*M67*1.225*H67^2)*$C$2^2</f>
        <v>65.0792688102987</v>
      </c>
      <c r="Q67" s="25" t="n">
        <f aca="false">Q52*$C$2</f>
        <v>0.649313827025606</v>
      </c>
      <c r="R67" s="21" t="n">
        <v>0.49</v>
      </c>
      <c r="S67" s="25" t="n">
        <f aca="false">S52</f>
        <v>0.164838134444592</v>
      </c>
    </row>
    <row r="68" customFormat="false" ht="15.75" hidden="false" customHeight="false" outlineLevel="0" collapsed="false">
      <c r="A68" s="20" t="s">
        <v>72</v>
      </c>
      <c r="B68" s="21" t="n">
        <v>11000</v>
      </c>
      <c r="C68" s="21" t="n">
        <v>18000</v>
      </c>
      <c r="D68" s="21" t="n">
        <v>98.84</v>
      </c>
      <c r="E68" s="21" t="n">
        <v>163.16</v>
      </c>
      <c r="F68" s="22" t="n">
        <f aca="false">E68*1000/(B68*9.81)</f>
        <v>1.51200074135854</v>
      </c>
      <c r="G68" s="22" t="n">
        <f aca="false">E68*1000/(C68*9.81)</f>
        <v>0.924000453052441</v>
      </c>
      <c r="H68" s="25" t="n">
        <f aca="false">H53*$C$2</f>
        <v>0.381944444475</v>
      </c>
      <c r="I68" s="25" t="n">
        <f aca="false">I53*$C$2</f>
        <v>0.798611111175</v>
      </c>
      <c r="J68" s="25" t="n">
        <f aca="false">J53*$C$2</f>
        <v>2.0833333335</v>
      </c>
      <c r="K68" s="25" t="n">
        <f aca="false">K53*$C$2</f>
        <v>2.951388889125</v>
      </c>
      <c r="L68" s="25" t="n">
        <f aca="false">L53*$C$2</f>
        <v>4.2534722225625</v>
      </c>
      <c r="M68" s="21" t="n">
        <v>38</v>
      </c>
      <c r="N68" s="25" t="n">
        <f aca="false">N53</f>
        <v>21.5811673897803</v>
      </c>
      <c r="O68" s="25" t="n">
        <f aca="false">O23*$F$2</f>
        <v>900</v>
      </c>
      <c r="P68" s="25" t="n">
        <f aca="false">B68*$H$2/(0.5*M68*1.225*H68^2)*$C$2^2</f>
        <v>79.4532408817314</v>
      </c>
      <c r="Q68" s="25" t="n">
        <f aca="false">Q53*$C$2</f>
        <v>0.488584975020694</v>
      </c>
      <c r="R68" s="23" t="n">
        <v>0.55</v>
      </c>
      <c r="S68" s="25" t="n">
        <f aca="false">S53</f>
        <v>0.13900552002963</v>
      </c>
    </row>
    <row r="69" customFormat="false" ht="15.75" hidden="false" customHeight="false" outlineLevel="0" collapsed="false">
      <c r="A69" s="20" t="s">
        <v>73</v>
      </c>
      <c r="B69" s="23" t="n">
        <v>7200</v>
      </c>
      <c r="C69" s="21" t="n">
        <v>10400</v>
      </c>
      <c r="D69" s="21" t="n">
        <v>40.18</v>
      </c>
      <c r="E69" s="21" t="n">
        <v>69.58</v>
      </c>
      <c r="F69" s="22" t="n">
        <f aca="false">E69*1000/(B69*9.81)</f>
        <v>0.985105901008042</v>
      </c>
      <c r="G69" s="22" t="n">
        <f aca="false">E69*1000/(C69*9.81)</f>
        <v>0.681996393005567</v>
      </c>
      <c r="H69" s="25" t="n">
        <f aca="false">H54*$C$2</f>
        <v>0.6076388889375</v>
      </c>
      <c r="I69" s="25" t="n">
        <f aca="false">I54*$C$2</f>
        <v>0.887500000071</v>
      </c>
      <c r="J69" s="25" t="n">
        <f aca="false">J54*$C$2</f>
        <v>1.3993055556675</v>
      </c>
      <c r="K69" s="25" t="n">
        <f aca="false">K54*$C$2</f>
        <v>2.256944444625</v>
      </c>
      <c r="L69" s="25" t="n">
        <f aca="false">L54*$C$2</f>
        <v>3.77604166696875</v>
      </c>
      <c r="M69" s="21" t="n">
        <v>23</v>
      </c>
      <c r="N69" s="25" t="n">
        <f aca="false">N54</f>
        <v>11.4379637970598</v>
      </c>
      <c r="O69" s="25" t="n">
        <f aca="false">O24*$F$2</f>
        <v>875</v>
      </c>
      <c r="P69" s="25" t="n">
        <f aca="false">B69*$H$2/(0.5*M69*1.225*H69^2)*$C$2^2</f>
        <v>33.9481772859143</v>
      </c>
      <c r="Q69" s="25" t="n">
        <f aca="false">Q54*$C$2</f>
        <v>0.730291057010042</v>
      </c>
      <c r="R69" s="23" t="n">
        <v>0.46</v>
      </c>
      <c r="S69" s="25" t="n">
        <f aca="false">S54</f>
        <v>0.12120450731274</v>
      </c>
    </row>
    <row r="70" customFormat="false" ht="15.75" hidden="false" customHeight="false" outlineLevel="0" collapsed="false">
      <c r="A70" s="20" t="s">
        <v>74</v>
      </c>
      <c r="B70" s="21" t="n">
        <v>11321</v>
      </c>
      <c r="C70" s="21" t="n">
        <v>20865</v>
      </c>
      <c r="D70" s="21" t="n">
        <v>80.64</v>
      </c>
      <c r="E70" s="21" t="n">
        <v>80.64</v>
      </c>
      <c r="F70" s="22" t="n">
        <f aca="false">E70*1000/(B70*9.81)</f>
        <v>0.726100475774095</v>
      </c>
      <c r="G70" s="22" t="n">
        <f aca="false">E70*1000/(C70*9.81)</f>
        <v>0.393969972980519</v>
      </c>
      <c r="H70" s="25" t="n">
        <f aca="false">H55*$C$2</f>
        <v>0.54687500004375</v>
      </c>
      <c r="I70" s="25" t="n">
        <f aca="false">I55*$C$2</f>
        <v>0.74131944450375</v>
      </c>
      <c r="J70" s="25" t="n">
        <f aca="false">J55*$C$2</f>
        <v>0.9722222223</v>
      </c>
      <c r="K70" s="25" t="n">
        <f aca="false">K55*$C$2</f>
        <v>1.2256944445425</v>
      </c>
      <c r="L70" s="25" t="n">
        <f aca="false">L55*$C$2</f>
        <v>1.44618055567125</v>
      </c>
      <c r="M70" s="21" t="n">
        <v>47</v>
      </c>
      <c r="N70" s="25" t="n">
        <f aca="false">N55</f>
        <v>25.7766783211413</v>
      </c>
      <c r="O70" s="25" t="n">
        <f aca="false">O25*$F$2</f>
        <v>685</v>
      </c>
      <c r="P70" s="25" t="n">
        <f aca="false">B70*$H$2/(0.5*M70*1.225*H70^2)*$C$2^2</f>
        <v>32.2488115687411</v>
      </c>
      <c r="Q70" s="25" t="n">
        <f aca="false">Q55*$C$2</f>
        <v>0.742428901224713</v>
      </c>
      <c r="R70" s="23" t="n">
        <v>1.645</v>
      </c>
      <c r="S70" s="25" t="n">
        <f aca="false">S55</f>
        <v>0.133184626501309</v>
      </c>
    </row>
    <row r="71" customFormat="false" ht="15.75" hidden="false" customHeight="false" outlineLevel="0" collapsed="false">
      <c r="A71" s="20" t="s">
        <v>30</v>
      </c>
      <c r="B71" s="21" t="n">
        <v>83915</v>
      </c>
      <c r="C71" s="21" t="n">
        <v>157397</v>
      </c>
      <c r="D71" s="21" t="n">
        <v>384</v>
      </c>
      <c r="E71" s="21" t="n">
        <v>384</v>
      </c>
      <c r="F71" s="22" t="n">
        <f aca="false">E71*1000/(B71*9.81)</f>
        <v>0.466468818290534</v>
      </c>
      <c r="G71" s="22" t="n">
        <f aca="false">E71*1000/(C71*9.81)</f>
        <v>0.248694262831249</v>
      </c>
      <c r="H71" s="25" t="n">
        <f aca="false">H56*$C$2</f>
        <v>0.6944444445</v>
      </c>
      <c r="I71" s="25" t="n">
        <f aca="false">I56*$C$2</f>
        <v>0.895833333405</v>
      </c>
      <c r="J71" s="25" t="n">
        <f aca="false">J56*$C$2</f>
        <v>1.006944444525</v>
      </c>
      <c r="K71" s="25" t="n">
        <f aca="false">K56*$C$2</f>
        <v>1.215277777875</v>
      </c>
      <c r="L71" s="25" t="n">
        <f aca="false">L56*$C$2</f>
        <v>1.4826388890075</v>
      </c>
      <c r="M71" s="21" t="n">
        <v>283</v>
      </c>
      <c r="N71" s="25" t="n">
        <f aca="false">N56</f>
        <v>130.839268419811</v>
      </c>
      <c r="O71" s="25" t="n">
        <f aca="false">O26*$F$2</f>
        <v>440</v>
      </c>
      <c r="P71" s="25" t="n">
        <f aca="false">B71*$H$2/(0.5*M71*1.225*H71^2)*$C$2^2</f>
        <v>24.6196044186469</v>
      </c>
      <c r="Q71" s="25" t="n">
        <f aca="false">Q56*$C$2</f>
        <v>0.95107755729735</v>
      </c>
      <c r="R71" s="23" t="n">
        <v>14.5</v>
      </c>
      <c r="S71" s="25" t="n">
        <f aca="false">S56</f>
        <v>0.0731890355912713</v>
      </c>
    </row>
    <row r="72" customFormat="false" ht="15.75" hidden="false" customHeight="false" outlineLevel="0" collapsed="false">
      <c r="A72" s="20" t="s">
        <v>75</v>
      </c>
      <c r="B72" s="21" t="n">
        <v>3463</v>
      </c>
      <c r="C72" s="21" t="n">
        <v>5490</v>
      </c>
      <c r="D72" s="21" t="n">
        <v>14.68</v>
      </c>
      <c r="E72" s="21" t="n">
        <v>17</v>
      </c>
      <c r="F72" s="22" t="n">
        <f aca="false">E72*1000/(B72*9.81)</f>
        <v>0.500411662182095</v>
      </c>
      <c r="G72" s="22" t="n">
        <f aca="false">E72*1000/(C72*9.81)</f>
        <v>0.315651290735263</v>
      </c>
      <c r="H72" s="25" t="n">
        <f aca="false">H57*$C$2</f>
        <v>0.2777777778</v>
      </c>
      <c r="I72" s="25" t="n">
        <f aca="false">I57*$C$2</f>
        <v>0.48020833337175</v>
      </c>
      <c r="J72" s="25" t="n">
        <f aca="false">J57*$C$2</f>
        <v>1.01215277785875</v>
      </c>
      <c r="K72" s="25" t="n">
        <f aca="false">K57*$C$2</f>
        <v>1.145833333425</v>
      </c>
      <c r="L72" s="25" t="n">
        <f aca="false">L57*$C$2</f>
        <v>1.2326388889875</v>
      </c>
      <c r="M72" s="21" t="n">
        <v>21.8</v>
      </c>
      <c r="N72" s="25" t="n">
        <f aca="false">N57</f>
        <v>18.79083380559</v>
      </c>
      <c r="O72" s="25" t="n">
        <f aca="false">O27*$F$2</f>
        <v>640</v>
      </c>
      <c r="P72" s="25" t="n">
        <f aca="false">B72*$H$2/(0.5*M72*1.225*H72^2)*$C$2^2</f>
        <v>82.4335346806882</v>
      </c>
      <c r="Q72" s="25" t="n">
        <f aca="false">Q57*$C$2</f>
        <v>0.349749760458077</v>
      </c>
      <c r="R72" s="21" t="n">
        <v>0.35</v>
      </c>
      <c r="S72" s="25" t="n">
        <f aca="false">S57</f>
        <v>0.150998241066846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F74" activeCellId="0" sqref="F7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33"/>
    <col collapsed="false" customWidth="true" hidden="false" outlineLevel="0" max="2" min="2" style="0" width="20.17"/>
    <col collapsed="false" customWidth="true" hidden="false" outlineLevel="0" max="3" min="3" style="0" width="19.33"/>
    <col collapsed="false" customWidth="true" hidden="false" outlineLevel="0" max="4" min="4" style="0" width="20.86"/>
  </cols>
  <sheetData>
    <row r="1" customFormat="false" ht="15.75" hidden="false" customHeight="false" outlineLevel="0" collapsed="false">
      <c r="A1" s="18" t="s">
        <v>38</v>
      </c>
      <c r="B1" s="18" t="s">
        <v>39</v>
      </c>
      <c r="C1" s="18" t="s">
        <v>40</v>
      </c>
      <c r="D1" s="18" t="s">
        <v>41</v>
      </c>
    </row>
    <row r="2" customFormat="false" ht="15.75" hidden="false" customHeight="false" outlineLevel="0" collapsed="false">
      <c r="A2" s="9" t="n">
        <f aca="false">1000/60/60</f>
        <v>0.2777777778</v>
      </c>
      <c r="B2" s="9" t="n">
        <f aca="false">1000/60/60/20</f>
        <v>0.01388888889</v>
      </c>
      <c r="C2" s="9" t="n">
        <f aca="false">1/20</f>
        <v>0.05</v>
      </c>
      <c r="D2" s="2" t="n">
        <v>0.125</v>
      </c>
    </row>
    <row r="5" customFormat="false" ht="15.75" hidden="false" customHeight="false" outlineLevel="0" collapsed="false">
      <c r="A5" s="18" t="s">
        <v>92</v>
      </c>
      <c r="B5" s="18" t="s">
        <v>93</v>
      </c>
      <c r="C5" s="18" t="s">
        <v>94</v>
      </c>
    </row>
    <row r="6" customFormat="false" ht="15.75" hidden="false" customHeight="false" outlineLevel="0" collapsed="false">
      <c r="A6" s="2" t="s">
        <v>95</v>
      </c>
      <c r="B6" s="2" t="n">
        <v>10</v>
      </c>
      <c r="C6" s="9" t="n">
        <f aca="false">B6*0.05</f>
        <v>0.5</v>
      </c>
    </row>
    <row r="7" customFormat="false" ht="15.75" hidden="false" customHeight="false" outlineLevel="0" collapsed="false">
      <c r="A7" s="1" t="s">
        <v>96</v>
      </c>
      <c r="B7" s="1" t="s">
        <v>97</v>
      </c>
      <c r="C7" s="1" t="s">
        <v>98</v>
      </c>
      <c r="D7" s="1" t="s">
        <v>99</v>
      </c>
      <c r="E7" s="1" t="s">
        <v>100</v>
      </c>
      <c r="F7" s="1"/>
    </row>
    <row r="8" customFormat="false" ht="15.75" hidden="false" customHeight="false" outlineLevel="0" collapsed="false">
      <c r="A8" s="2" t="n">
        <v>400</v>
      </c>
      <c r="B8" s="9" t="n">
        <f aca="false">A8*$A$2*$D$2</f>
        <v>13.88888889</v>
      </c>
      <c r="C8" s="9" t="n">
        <f aca="false">B8*$C$2</f>
        <v>0.6944444445</v>
      </c>
      <c r="D8" s="2" t="n">
        <v>18.16</v>
      </c>
      <c r="E8" s="2" t="n">
        <v>23.49</v>
      </c>
    </row>
    <row r="9" customFormat="false" ht="15.75" hidden="false" customHeight="false" outlineLevel="0" collapsed="false">
      <c r="A9" s="2" t="n">
        <v>450</v>
      </c>
      <c r="B9" s="9" t="n">
        <f aca="false">A9*$A$2*$D$2</f>
        <v>15.62500000125</v>
      </c>
      <c r="C9" s="9" t="n">
        <f aca="false">B9*$C$2</f>
        <v>0.7812500000625</v>
      </c>
      <c r="D9" s="2" t="n">
        <v>18.86</v>
      </c>
      <c r="E9" s="2" t="n">
        <v>21.53</v>
      </c>
    </row>
    <row r="10" customFormat="false" ht="15.75" hidden="false" customHeight="false" outlineLevel="0" collapsed="false">
      <c r="A10" s="2" t="n">
        <v>500</v>
      </c>
      <c r="B10" s="9" t="n">
        <f aca="false">A10*$A$2*$D$2</f>
        <v>17.3611111125</v>
      </c>
      <c r="C10" s="9" t="n">
        <f aca="false">B10*$C$2</f>
        <v>0.868055555625</v>
      </c>
      <c r="D10" s="2" t="n">
        <v>19.42</v>
      </c>
      <c r="E10" s="2" t="n">
        <v>19.82</v>
      </c>
    </row>
    <row r="11" customFormat="false" ht="15.75" hidden="false" customHeight="false" outlineLevel="0" collapsed="false">
      <c r="A11" s="2" t="n">
        <v>550</v>
      </c>
      <c r="B11" s="9" t="n">
        <f aca="false">A11*$A$2*$D$2</f>
        <v>19.09722222375</v>
      </c>
      <c r="C11" s="9" t="n">
        <f aca="false">B11*$C$2</f>
        <v>0.9548611111875</v>
      </c>
      <c r="D11" s="2" t="n">
        <v>19.91</v>
      </c>
      <c r="E11" s="2" t="n">
        <v>18.42</v>
      </c>
    </row>
    <row r="12" customFormat="false" ht="15.75" hidden="false" customHeight="false" outlineLevel="0" collapsed="false">
      <c r="A12" s="2" t="n">
        <v>600</v>
      </c>
      <c r="B12" s="9" t="n">
        <f aca="false">A12*$A$2*$D$2</f>
        <v>20.833333335</v>
      </c>
      <c r="C12" s="9" t="n">
        <f aca="false">B12*$C$2</f>
        <v>1.04166666675</v>
      </c>
      <c r="D12" s="2" t="n">
        <v>20.32</v>
      </c>
      <c r="E12" s="2" t="n">
        <v>17.28</v>
      </c>
    </row>
    <row r="13" customFormat="false" ht="15.75" hidden="false" customHeight="false" outlineLevel="0" collapsed="false">
      <c r="A13" s="2" t="n">
        <v>650</v>
      </c>
      <c r="B13" s="9" t="n">
        <f aca="false">A13*$A$2*$D$2</f>
        <v>22.56944444625</v>
      </c>
      <c r="C13" s="9" t="n">
        <f aca="false">B13*$C$2</f>
        <v>1.1284722223125</v>
      </c>
      <c r="D13" s="2" t="n">
        <v>20.64</v>
      </c>
      <c r="E13" s="2" t="n">
        <v>16.21</v>
      </c>
    </row>
    <row r="14" customFormat="false" ht="15.75" hidden="false" customHeight="false" outlineLevel="0" collapsed="false">
      <c r="A14" s="2" t="n">
        <v>700</v>
      </c>
      <c r="B14" s="9" t="n">
        <f aca="false">A14*$A$2*$D$2</f>
        <v>24.3055555575</v>
      </c>
      <c r="C14" s="9" t="n">
        <f aca="false">B14*$C$2</f>
        <v>1.215277777875</v>
      </c>
      <c r="D14" s="2" t="n">
        <v>20.89</v>
      </c>
      <c r="E14" s="2" t="n">
        <v>15.11</v>
      </c>
    </row>
    <row r="15" customFormat="false" ht="15.75" hidden="false" customHeight="false" outlineLevel="0" collapsed="false">
      <c r="A15" s="2" t="n">
        <v>750</v>
      </c>
      <c r="B15" s="9" t="n">
        <f aca="false">A15*$A$2*$D$2</f>
        <v>26.04166666875</v>
      </c>
      <c r="C15" s="9" t="n">
        <f aca="false">B15*$C$2</f>
        <v>1.3020833334375</v>
      </c>
      <c r="D15" s="2" t="n">
        <v>21.15</v>
      </c>
      <c r="E15" s="2" t="n">
        <v>14.09</v>
      </c>
    </row>
    <row r="16" customFormat="false" ht="15.75" hidden="false" customHeight="false" outlineLevel="0" collapsed="false">
      <c r="A16" s="2" t="n">
        <v>800</v>
      </c>
      <c r="B16" s="9" t="n">
        <f aca="false">A16*$A$2*$D$2</f>
        <v>27.77777778</v>
      </c>
      <c r="C16" s="9" t="n">
        <f aca="false">B16*$C$2</f>
        <v>1.388888889</v>
      </c>
      <c r="D16" s="2" t="n">
        <v>21.4</v>
      </c>
      <c r="E16" s="2" t="n">
        <v>13.11</v>
      </c>
    </row>
    <row r="17" customFormat="false" ht="15.75" hidden="false" customHeight="false" outlineLevel="0" collapsed="false">
      <c r="A17" s="2" t="n">
        <v>850</v>
      </c>
      <c r="B17" s="9" t="n">
        <f aca="false">A17*$A$2*$D$2</f>
        <v>29.51388889125</v>
      </c>
      <c r="C17" s="9" t="n">
        <f aca="false">B17*$C$2</f>
        <v>1.4756944445625</v>
      </c>
      <c r="D17" s="2" t="n">
        <v>21.72</v>
      </c>
      <c r="E17" s="2" t="n">
        <v>12.26</v>
      </c>
    </row>
    <row r="20" customFormat="false" ht="15.75" hidden="false" customHeight="false" outlineLevel="0" collapsed="false">
      <c r="A20" s="18" t="s">
        <v>92</v>
      </c>
      <c r="B20" s="18" t="s">
        <v>93</v>
      </c>
      <c r="C20" s="18" t="s">
        <v>94</v>
      </c>
    </row>
    <row r="21" customFormat="false" ht="15.75" hidden="false" customHeight="false" outlineLevel="0" collapsed="false">
      <c r="A21" s="2" t="s">
        <v>95</v>
      </c>
      <c r="B21" s="2" t="n">
        <v>3048</v>
      </c>
      <c r="C21" s="9" t="n">
        <f aca="false">B21*0.05</f>
        <v>152.4</v>
      </c>
    </row>
    <row r="22" customFormat="false" ht="15.75" hidden="false" customHeight="false" outlineLevel="0" collapsed="false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/>
    </row>
    <row r="23" customFormat="false" ht="15.75" hidden="false" customHeight="false" outlineLevel="0" collapsed="false">
      <c r="A23" s="2" t="n">
        <v>1000</v>
      </c>
      <c r="B23" s="9" t="n">
        <f aca="false">A23*$A$2*$D$2</f>
        <v>34.722222225</v>
      </c>
      <c r="C23" s="9" t="n">
        <f aca="false">B23*$C$2</f>
        <v>1.73611111125</v>
      </c>
      <c r="D23" s="2" t="n">
        <v>15.07</v>
      </c>
      <c r="E23" s="2" t="n">
        <v>7.87</v>
      </c>
    </row>
    <row r="24" customFormat="false" ht="15.75" hidden="false" customHeight="false" outlineLevel="0" collapsed="false">
      <c r="A24" s="2" t="n">
        <v>1100</v>
      </c>
      <c r="B24" s="9" t="n">
        <f aca="false">A24*$A$2*$D$2</f>
        <v>38.1944444475</v>
      </c>
      <c r="C24" s="9" t="n">
        <f aca="false">B24*$C$2</f>
        <v>1.909722222375</v>
      </c>
      <c r="D24" s="2" t="n">
        <v>12.85</v>
      </c>
      <c r="E24" s="2" t="n">
        <v>6.2</v>
      </c>
    </row>
    <row r="25" customFormat="false" ht="15.75" hidden="false" customHeight="false" outlineLevel="0" collapsed="false">
      <c r="A25" s="2" t="n">
        <v>1200</v>
      </c>
      <c r="B25" s="9" t="n">
        <f aca="false">A25*$A$2*$D$2</f>
        <v>41.66666667</v>
      </c>
      <c r="C25" s="9" t="n">
        <f aca="false">B25*$C$2</f>
        <v>2.0833333335</v>
      </c>
      <c r="D25" s="2" t="n">
        <v>11.98</v>
      </c>
      <c r="E25" s="2" t="n">
        <v>4.53</v>
      </c>
    </row>
    <row r="26" customFormat="false" ht="15.75" hidden="false" customHeight="false" outlineLevel="0" collapsed="false">
      <c r="A26" s="2" t="n">
        <v>1300</v>
      </c>
      <c r="B26" s="9" t="n">
        <f aca="false">A26*$A$2*$D$2</f>
        <v>45.1388888925</v>
      </c>
      <c r="C26" s="9" t="n">
        <f aca="false">B26*$C$2</f>
        <v>2.256944444625</v>
      </c>
      <c r="D26" s="2" t="n">
        <v>10.78</v>
      </c>
      <c r="E26" s="2" t="n">
        <v>2.86</v>
      </c>
    </row>
    <row r="27" customFormat="false" ht="15.75" hidden="false" customHeight="false" outlineLevel="0" collapsed="false">
      <c r="A27" s="2" t="n">
        <v>1400</v>
      </c>
      <c r="B27" s="9" t="n">
        <f aca="false">A27*$A$2*$D$2</f>
        <v>48.611111115</v>
      </c>
      <c r="C27" s="9" t="n">
        <f aca="false">B27*$C$2</f>
        <v>2.43055555575</v>
      </c>
      <c r="D27" s="2" t="n">
        <v>8.79</v>
      </c>
      <c r="E27" s="2" t="n">
        <v>1.19</v>
      </c>
    </row>
    <row r="30" customFormat="false" ht="15.75" hidden="false" customHeight="false" outlineLevel="0" collapsed="false">
      <c r="A30" s="18" t="s">
        <v>92</v>
      </c>
      <c r="B30" s="18" t="s">
        <v>93</v>
      </c>
      <c r="C30" s="18" t="s">
        <v>94</v>
      </c>
    </row>
    <row r="31" customFormat="false" ht="15.75" hidden="false" customHeight="false" outlineLevel="0" collapsed="false">
      <c r="A31" s="2" t="s">
        <v>101</v>
      </c>
      <c r="B31" s="2" t="n">
        <v>1000</v>
      </c>
      <c r="C31" s="9" t="n">
        <f aca="false">B31*0.05</f>
        <v>50</v>
      </c>
    </row>
    <row r="32" customFormat="false" ht="15.75" hidden="false" customHeight="false" outlineLevel="0" collapsed="false">
      <c r="A32" s="1" t="s">
        <v>96</v>
      </c>
      <c r="B32" s="1" t="s">
        <v>97</v>
      </c>
      <c r="C32" s="1" t="s">
        <v>98</v>
      </c>
      <c r="D32" s="1" t="s">
        <v>99</v>
      </c>
      <c r="E32" s="1" t="s">
        <v>100</v>
      </c>
      <c r="F32" s="1"/>
    </row>
    <row r="33" customFormat="false" ht="15.75" hidden="false" customHeight="false" outlineLevel="0" collapsed="false">
      <c r="A33" s="2" t="n">
        <v>400</v>
      </c>
      <c r="B33" s="9" t="n">
        <f aca="false">A33*$A$2*$D$2</f>
        <v>13.88888889</v>
      </c>
      <c r="C33" s="9" t="n">
        <f aca="false">B33*$C$2</f>
        <v>0.6944444445</v>
      </c>
      <c r="D33" s="2" t="n">
        <v>15.32</v>
      </c>
      <c r="E33" s="2" t="n">
        <v>20.54</v>
      </c>
    </row>
    <row r="34" customFormat="false" ht="15.75" hidden="false" customHeight="false" outlineLevel="0" collapsed="false">
      <c r="A34" s="2" t="n">
        <v>450</v>
      </c>
      <c r="B34" s="9" t="n">
        <f aca="false">A34*$A$2*$D$2</f>
        <v>15.62500000125</v>
      </c>
      <c r="C34" s="9" t="n">
        <f aca="false">B34*$C$2</f>
        <v>0.7812500000625</v>
      </c>
      <c r="D34" s="2" t="n">
        <v>15.77</v>
      </c>
      <c r="E34" s="2" t="n">
        <v>19.01</v>
      </c>
    </row>
    <row r="35" customFormat="false" ht="15.75" hidden="false" customHeight="false" outlineLevel="0" collapsed="false">
      <c r="A35" s="2" t="n">
        <v>500</v>
      </c>
      <c r="B35" s="9" t="n">
        <f aca="false">A35*$A$2*$D$2</f>
        <v>17.3611111125</v>
      </c>
      <c r="C35" s="9" t="n">
        <f aca="false">B35*$C$2</f>
        <v>0.868055555625</v>
      </c>
      <c r="D35" s="2" t="n">
        <v>16.12</v>
      </c>
      <c r="E35" s="2" t="n">
        <v>17.83</v>
      </c>
    </row>
    <row r="36" customFormat="false" ht="15.75" hidden="false" customHeight="false" outlineLevel="0" collapsed="false">
      <c r="A36" s="2" t="n">
        <v>550</v>
      </c>
      <c r="B36" s="9" t="n">
        <f aca="false">A36*$A$2*$D$2</f>
        <v>19.09722222375</v>
      </c>
      <c r="C36" s="9" t="n">
        <f aca="false">B36*$C$2</f>
        <v>0.9548611111875</v>
      </c>
      <c r="D36" s="2" t="n">
        <v>16.53</v>
      </c>
      <c r="E36" s="2" t="n">
        <v>16.83</v>
      </c>
    </row>
    <row r="37" customFormat="false" ht="15.75" hidden="false" customHeight="false" outlineLevel="0" collapsed="false">
      <c r="A37" s="2" t="n">
        <v>600</v>
      </c>
      <c r="B37" s="9" t="n">
        <f aca="false">A37*$A$2*$D$2</f>
        <v>20.833333335</v>
      </c>
      <c r="C37" s="9" t="n">
        <f aca="false">B37*$C$2</f>
        <v>1.04166666675</v>
      </c>
      <c r="D37" s="2" t="n">
        <v>16.99</v>
      </c>
      <c r="E37" s="2" t="n">
        <v>15.94</v>
      </c>
    </row>
    <row r="38" customFormat="false" ht="15.75" hidden="false" customHeight="false" outlineLevel="0" collapsed="false">
      <c r="A38" s="2" t="n">
        <v>650</v>
      </c>
      <c r="B38" s="9" t="n">
        <f aca="false">A38*$A$2*$D$2</f>
        <v>22.56944444625</v>
      </c>
      <c r="C38" s="9" t="n">
        <f aca="false">B38*$C$2</f>
        <v>1.1284722223125</v>
      </c>
      <c r="D38" s="2" t="n">
        <v>17.58</v>
      </c>
      <c r="E38" s="2" t="n">
        <v>15.18</v>
      </c>
    </row>
    <row r="39" customFormat="false" ht="15.75" hidden="false" customHeight="false" outlineLevel="0" collapsed="false">
      <c r="A39" s="2" t="n">
        <v>700</v>
      </c>
      <c r="B39" s="9" t="n">
        <f aca="false">A39*$A$2*$D$2</f>
        <v>24.3055555575</v>
      </c>
      <c r="C39" s="9" t="n">
        <f aca="false">B39*$C$2</f>
        <v>1.215277777875</v>
      </c>
      <c r="D39" s="2" t="n">
        <v>18.17</v>
      </c>
      <c r="E39" s="2" t="n">
        <v>14.45</v>
      </c>
    </row>
    <row r="40" customFormat="false" ht="15.75" hidden="false" customHeight="false" outlineLevel="0" collapsed="false">
      <c r="A40" s="2" t="n">
        <v>750</v>
      </c>
      <c r="B40" s="9" t="n">
        <f aca="false">A40*$A$2*$D$2</f>
        <v>26.04166666875</v>
      </c>
      <c r="C40" s="9" t="n">
        <f aca="false">B40*$C$2</f>
        <v>1.3020833334375</v>
      </c>
      <c r="D40" s="2" t="n">
        <v>18.61</v>
      </c>
      <c r="E40" s="2" t="n">
        <v>13.63</v>
      </c>
    </row>
    <row r="41" customFormat="false" ht="15.75" hidden="false" customHeight="false" outlineLevel="0" collapsed="false">
      <c r="A41" s="2" t="n">
        <v>800</v>
      </c>
      <c r="B41" s="9" t="n">
        <f aca="false">A41*$A$2*$D$2</f>
        <v>27.77777778</v>
      </c>
      <c r="C41" s="9" t="n">
        <f aca="false">B41*$C$2</f>
        <v>1.388888889</v>
      </c>
      <c r="D41" s="2" t="n">
        <v>18.87</v>
      </c>
      <c r="E41" s="2" t="n">
        <v>12.88</v>
      </c>
    </row>
    <row r="42" customFormat="false" ht="15.75" hidden="false" customHeight="false" outlineLevel="0" collapsed="false">
      <c r="A42" s="2" t="n">
        <v>850</v>
      </c>
      <c r="B42" s="9" t="n">
        <f aca="false">A42*$A$2*$D$2</f>
        <v>29.51388889125</v>
      </c>
      <c r="C42" s="9" t="n">
        <f aca="false">B42*$C$2</f>
        <v>1.4756944445625</v>
      </c>
      <c r="D42" s="2" t="n">
        <v>19.22</v>
      </c>
      <c r="E42" s="2" t="n">
        <v>12.16</v>
      </c>
    </row>
    <row r="43" customFormat="false" ht="15.75" hidden="false" customHeight="false" outlineLevel="0" collapsed="false">
      <c r="A43" s="2" t="n">
        <v>900</v>
      </c>
      <c r="B43" s="9" t="n">
        <f aca="false">A43*$A$2*$D$2</f>
        <v>31.2500000025</v>
      </c>
      <c r="C43" s="9" t="n">
        <f aca="false">B43*$C$2</f>
        <v>1.562500000125</v>
      </c>
      <c r="D43" s="2" t="n">
        <v>19.49</v>
      </c>
      <c r="E43" s="2" t="n">
        <v>11.46</v>
      </c>
    </row>
    <row r="44" customFormat="false" ht="15.75" hidden="false" customHeight="false" outlineLevel="0" collapsed="false">
      <c r="A44" s="2" t="n">
        <v>1000</v>
      </c>
      <c r="B44" s="9" t="n">
        <f aca="false">A44*$A$2*$D$2</f>
        <v>34.722222225</v>
      </c>
      <c r="C44" s="9" t="n">
        <f aca="false">B44*$C$2</f>
        <v>1.73611111125</v>
      </c>
      <c r="D44" s="2" t="n">
        <v>19.39</v>
      </c>
      <c r="E44" s="2" t="n">
        <v>10.06</v>
      </c>
    </row>
    <row r="45" customFormat="false" ht="15.75" hidden="false" customHeight="false" outlineLevel="0" collapsed="false">
      <c r="A45" s="2" t="n">
        <v>1100</v>
      </c>
      <c r="B45" s="9" t="n">
        <f aca="false">A45*$A$2*$D$2</f>
        <v>38.1944444475</v>
      </c>
      <c r="C45" s="9" t="n">
        <f aca="false">B45*$C$2</f>
        <v>1.909722222375</v>
      </c>
      <c r="D45" s="2" t="n">
        <v>18.11</v>
      </c>
      <c r="E45" s="2" t="n">
        <v>8.66</v>
      </c>
    </row>
    <row r="46" customFormat="false" ht="15.75" hidden="false" customHeight="false" outlineLevel="0" collapsed="false">
      <c r="A46" s="2" t="n">
        <v>1200</v>
      </c>
      <c r="B46" s="9" t="n">
        <f aca="false">A46*$A$2*$D$2</f>
        <v>41.66666667</v>
      </c>
      <c r="C46" s="9" t="n">
        <f aca="false">B46*$C$2</f>
        <v>2.0833333335</v>
      </c>
      <c r="D46" s="2" t="n">
        <v>12.02</v>
      </c>
      <c r="E46" s="2" t="n">
        <v>7.26</v>
      </c>
    </row>
    <row r="47" customFormat="false" ht="15.75" hidden="false" customHeight="false" outlineLevel="0" collapsed="false">
      <c r="A47" s="2" t="n">
        <v>1300</v>
      </c>
      <c r="B47" s="9" t="n">
        <f aca="false">A47*$A$2*$D$2</f>
        <v>45.1388888925</v>
      </c>
      <c r="C47" s="9" t="n">
        <f aca="false">B47*$C$2</f>
        <v>2.256944444625</v>
      </c>
      <c r="D47" s="2" t="n">
        <v>8.76</v>
      </c>
      <c r="E47" s="2" t="n">
        <v>5.86</v>
      </c>
    </row>
    <row r="48" customFormat="false" ht="15.75" hidden="false" customHeight="false" outlineLevel="0" collapsed="false">
      <c r="A48" s="2" t="n">
        <v>1400</v>
      </c>
      <c r="B48" s="9" t="n">
        <f aca="false">A48*$A$2*$D$2</f>
        <v>48.611111115</v>
      </c>
      <c r="C48" s="9" t="n">
        <f aca="false">B48*$C$2</f>
        <v>2.43055555575</v>
      </c>
      <c r="D48" s="2" t="n">
        <v>6.73</v>
      </c>
      <c r="E48" s="2" t="n">
        <v>4.6</v>
      </c>
    </row>
    <row r="51" customFormat="false" ht="15.75" hidden="false" customHeight="false" outlineLevel="0" collapsed="false">
      <c r="A51" s="18" t="s">
        <v>92</v>
      </c>
      <c r="B51" s="18" t="s">
        <v>93</v>
      </c>
      <c r="C51" s="18" t="s">
        <v>94</v>
      </c>
    </row>
    <row r="52" customFormat="false" ht="15.75" hidden="false" customHeight="false" outlineLevel="0" collapsed="false">
      <c r="A52" s="2" t="s">
        <v>102</v>
      </c>
      <c r="B52" s="2" t="n">
        <v>10</v>
      </c>
      <c r="C52" s="9" t="n">
        <f aca="false">B52*0.05</f>
        <v>0.5</v>
      </c>
    </row>
    <row r="53" customFormat="false" ht="15.75" hidden="false" customHeight="false" outlineLevel="0" collapsed="false">
      <c r="A53" s="1" t="s">
        <v>96</v>
      </c>
      <c r="B53" s="1" t="s">
        <v>97</v>
      </c>
      <c r="C53" s="1" t="s">
        <v>98</v>
      </c>
      <c r="D53" s="1" t="s">
        <v>99</v>
      </c>
      <c r="E53" s="1" t="s">
        <v>100</v>
      </c>
      <c r="F53" s="1"/>
    </row>
    <row r="54" customFormat="false" ht="15.75" hidden="false" customHeight="false" outlineLevel="0" collapsed="false">
      <c r="A54" s="2" t="n">
        <v>400</v>
      </c>
      <c r="B54" s="9" t="n">
        <f aca="false">A54*$A$2*$D$2</f>
        <v>13.88888889</v>
      </c>
      <c r="C54" s="9" t="n">
        <f aca="false">B54*$C$2</f>
        <v>0.6944444445</v>
      </c>
      <c r="D54" s="2" t="n">
        <v>16.51</v>
      </c>
      <c r="E54" s="2" t="n">
        <v>22.72</v>
      </c>
    </row>
    <row r="55" customFormat="false" ht="15.75" hidden="false" customHeight="false" outlineLevel="0" collapsed="false">
      <c r="A55" s="2" t="n">
        <v>450</v>
      </c>
      <c r="B55" s="9" t="n">
        <f aca="false">A55*$A$2*$D$2</f>
        <v>15.62500000125</v>
      </c>
      <c r="C55" s="9" t="n">
        <f aca="false">B55*$C$2</f>
        <v>0.7812500000625</v>
      </c>
      <c r="D55" s="2" t="n">
        <v>17.32</v>
      </c>
      <c r="E55" s="2" t="n">
        <v>20.36</v>
      </c>
    </row>
    <row r="56" customFormat="false" ht="15.75" hidden="false" customHeight="false" outlineLevel="0" collapsed="false">
      <c r="A56" s="2" t="n">
        <v>500</v>
      </c>
      <c r="B56" s="9" t="n">
        <f aca="false">A56*$A$2*$D$2</f>
        <v>17.3611111125</v>
      </c>
      <c r="C56" s="9" t="n">
        <f aca="false">B56*$C$2</f>
        <v>0.868055555625</v>
      </c>
      <c r="D56" s="2" t="n">
        <v>18.04</v>
      </c>
      <c r="E56" s="2" t="n">
        <v>18.35</v>
      </c>
    </row>
    <row r="57" customFormat="false" ht="15.75" hidden="false" customHeight="false" outlineLevel="0" collapsed="false">
      <c r="A57" s="2" t="n">
        <v>550</v>
      </c>
      <c r="B57" s="9" t="n">
        <f aca="false">A57*$A$2*$D$2</f>
        <v>19.09722222375</v>
      </c>
      <c r="C57" s="9" t="n">
        <f aca="false">B57*$C$2</f>
        <v>0.9548611111875</v>
      </c>
      <c r="D57" s="2" t="n">
        <v>18.69</v>
      </c>
      <c r="E57" s="2" t="n">
        <v>16.61</v>
      </c>
    </row>
    <row r="58" customFormat="false" ht="15.75" hidden="false" customHeight="false" outlineLevel="0" collapsed="false">
      <c r="A58" s="2" t="n">
        <v>600</v>
      </c>
      <c r="B58" s="9" t="n">
        <f aca="false">A58*$A$2*$D$2</f>
        <v>20.833333335</v>
      </c>
      <c r="C58" s="9" t="n">
        <f aca="false">B58*$C$2</f>
        <v>1.04166666675</v>
      </c>
      <c r="D58" s="2" t="n">
        <v>19.21</v>
      </c>
      <c r="E58" s="2" t="n">
        <v>15.04</v>
      </c>
    </row>
    <row r="59" customFormat="false" ht="15.75" hidden="false" customHeight="false" outlineLevel="0" collapsed="false">
      <c r="A59" s="2" t="n">
        <v>650</v>
      </c>
      <c r="B59" s="9" t="n">
        <f aca="false">A59*$A$2*$D$2</f>
        <v>22.56944444625</v>
      </c>
      <c r="C59" s="9" t="n">
        <f aca="false">B59*$C$2</f>
        <v>1.1284722223125</v>
      </c>
      <c r="D59" s="2" t="n">
        <v>19.58</v>
      </c>
      <c r="E59" s="2" t="n">
        <v>13.52</v>
      </c>
    </row>
    <row r="60" customFormat="false" ht="15.75" hidden="false" customHeight="false" outlineLevel="0" collapsed="false">
      <c r="A60" s="2" t="n">
        <v>700</v>
      </c>
      <c r="B60" s="9" t="n">
        <f aca="false">A60*$A$2*$D$2</f>
        <v>24.3055555575</v>
      </c>
      <c r="C60" s="9" t="n">
        <f aca="false">B60*$C$2</f>
        <v>1.215277777875</v>
      </c>
      <c r="D60" s="2" t="n">
        <v>19.89</v>
      </c>
      <c r="E60" s="2" t="n">
        <v>12.34</v>
      </c>
    </row>
    <row r="61" customFormat="false" ht="15.75" hidden="false" customHeight="false" outlineLevel="0" collapsed="false">
      <c r="A61" s="2" t="n">
        <v>750</v>
      </c>
      <c r="B61" s="9" t="n">
        <f aca="false">A61*$A$2*$D$2</f>
        <v>26.04166666875</v>
      </c>
      <c r="C61" s="9" t="n">
        <f aca="false">B61*$C$2</f>
        <v>1.3020833334375</v>
      </c>
      <c r="D61" s="2" t="n">
        <v>20.18</v>
      </c>
      <c r="E61" s="2" t="n">
        <v>11.44</v>
      </c>
    </row>
    <row r="62" customFormat="false" ht="15.75" hidden="false" customHeight="false" outlineLevel="0" collapsed="false">
      <c r="A62" s="2" t="n">
        <v>800</v>
      </c>
      <c r="B62" s="9" t="n">
        <f aca="false">A62*$A$2*$D$2</f>
        <v>27.77777778</v>
      </c>
      <c r="C62" s="9" t="n">
        <f aca="false">B62*$C$2</f>
        <v>1.388888889</v>
      </c>
      <c r="D62" s="2" t="n">
        <v>20.5</v>
      </c>
      <c r="E62" s="2" t="n">
        <v>11.26</v>
      </c>
    </row>
    <row r="63" customFormat="false" ht="15.75" hidden="false" customHeight="false" outlineLevel="0" collapsed="false">
      <c r="A63" s="2" t="n">
        <v>850</v>
      </c>
      <c r="B63" s="9" t="n">
        <f aca="false">A63*$A$2*$D$2</f>
        <v>29.51388889125</v>
      </c>
      <c r="C63" s="9" t="n">
        <f aca="false">B63*$C$2</f>
        <v>1.4756944445625</v>
      </c>
      <c r="D63" s="2" t="n">
        <v>20.4</v>
      </c>
      <c r="E63" s="2" t="n">
        <v>11.09</v>
      </c>
    </row>
    <row r="64" customFormat="false" ht="15.75" hidden="false" customHeight="false" outlineLevel="0" collapsed="false">
      <c r="A64" s="2" t="n">
        <v>900</v>
      </c>
      <c r="B64" s="9" t="n">
        <f aca="false">A64*$A$2*$D$2</f>
        <v>31.2500000025</v>
      </c>
      <c r="C64" s="9" t="n">
        <f aca="false">B64*$C$2</f>
        <v>1.562500000125</v>
      </c>
      <c r="D64" s="2" t="n">
        <v>19.64</v>
      </c>
      <c r="E64" s="2" t="n">
        <v>9.95</v>
      </c>
    </row>
    <row r="67" customFormat="false" ht="15.75" hidden="false" customHeight="true" outlineLevel="0" collapsed="false">
      <c r="A67" s="18" t="s">
        <v>92</v>
      </c>
      <c r="B67" s="18" t="s">
        <v>93</v>
      </c>
      <c r="C67" s="18" t="s">
        <v>94</v>
      </c>
    </row>
    <row r="68" customFormat="false" ht="15.75" hidden="false" customHeight="true" outlineLevel="0" collapsed="false">
      <c r="A68" s="0" t="s">
        <v>103</v>
      </c>
      <c r="B68" s="0" t="n">
        <v>1500</v>
      </c>
      <c r="C68" s="0" t="n">
        <f aca="false">B68*0.05</f>
        <v>75</v>
      </c>
    </row>
    <row r="69" customFormat="false" ht="15.75" hidden="false" customHeight="true" outlineLevel="0" collapsed="false">
      <c r="A69" s="1" t="s">
        <v>96</v>
      </c>
      <c r="B69" s="1" t="s">
        <v>97</v>
      </c>
      <c r="C69" s="1" t="s">
        <v>98</v>
      </c>
      <c r="D69" s="1" t="s">
        <v>99</v>
      </c>
      <c r="E69" s="1" t="s">
        <v>100</v>
      </c>
    </row>
    <row r="70" customFormat="false" ht="15.75" hidden="false" customHeight="true" outlineLevel="0" collapsed="false">
      <c r="A70" s="0" t="n">
        <v>240</v>
      </c>
      <c r="B70" s="0" t="n">
        <f aca="false">A70*$A$2*$D$2</f>
        <v>8.333333334</v>
      </c>
      <c r="C70" s="0" t="n">
        <f aca="false">B70*$C$2</f>
        <v>0.4166666667</v>
      </c>
      <c r="D70" s="0" t="n">
        <v>2</v>
      </c>
      <c r="E70" s="0" t="n">
        <v>22</v>
      </c>
    </row>
    <row r="71" customFormat="false" ht="15.75" hidden="false" customHeight="true" outlineLevel="0" collapsed="false">
      <c r="A71" s="0" t="n">
        <v>360.5</v>
      </c>
      <c r="B71" s="0" t="n">
        <f aca="false">A71*$A$2*$D$2</f>
        <v>12.5173611121125</v>
      </c>
      <c r="C71" s="0" t="n">
        <f aca="false">B71*$C$2</f>
        <v>0.625868055605625</v>
      </c>
      <c r="D71" s="0" t="n">
        <v>8</v>
      </c>
      <c r="E71" s="0" t="n">
        <v>20</v>
      </c>
    </row>
    <row r="72" customFormat="false" ht="15.75" hidden="false" customHeight="true" outlineLevel="0" collapsed="false">
      <c r="A72" s="0" t="n">
        <v>481</v>
      </c>
      <c r="B72" s="0" t="n">
        <f aca="false">A72*$A$2*$D$2</f>
        <v>16.701388890225</v>
      </c>
      <c r="C72" s="0" t="n">
        <f aca="false">B72*$C$2</f>
        <v>0.83506944451125</v>
      </c>
      <c r="D72" s="0" t="n">
        <v>10</v>
      </c>
      <c r="E72" s="0" t="n">
        <v>16</v>
      </c>
    </row>
    <row r="73" customFormat="false" ht="15.75" hidden="false" customHeight="true" outlineLevel="0" collapsed="false">
      <c r="A73" s="0" t="n">
        <v>601.5</v>
      </c>
      <c r="B73" s="0" t="n">
        <f aca="false">A73*$A$2*$D$2</f>
        <v>20.8854166683375</v>
      </c>
      <c r="C73" s="0" t="n">
        <f aca="false">B73*$C$2</f>
        <v>1.04427083341688</v>
      </c>
      <c r="D73" s="0" t="n">
        <v>11</v>
      </c>
      <c r="E73" s="0" t="n">
        <v>13</v>
      </c>
    </row>
    <row r="74" customFormat="false" ht="15.75" hidden="false" customHeight="true" outlineLevel="0" collapsed="false">
      <c r="A74" s="0" t="n">
        <v>722</v>
      </c>
      <c r="B74" s="0" t="n">
        <f aca="false">A74*$A$2*$D$2</f>
        <v>25.06944444645</v>
      </c>
      <c r="C74" s="0" t="n">
        <f aca="false">B74*$C$2</f>
        <v>1.2534722223225</v>
      </c>
      <c r="D74" s="0" t="n">
        <v>11.8</v>
      </c>
      <c r="E74" s="0" t="n">
        <v>11</v>
      </c>
    </row>
    <row r="75" customFormat="false" ht="15.75" hidden="false" customHeight="true" outlineLevel="0" collapsed="false">
      <c r="A75" s="0" t="n">
        <v>842.5</v>
      </c>
      <c r="B75" s="0" t="n">
        <f aca="false">A75*$A$2*$D$2</f>
        <v>29.2534722245625</v>
      </c>
      <c r="C75" s="0" t="n">
        <f aca="false">B75*$C$2</f>
        <v>1.46267361122813</v>
      </c>
      <c r="D75" s="0" t="n">
        <v>12.3</v>
      </c>
      <c r="E75" s="0" t="n">
        <v>10</v>
      </c>
    </row>
    <row r="76" customFormat="false" ht="15.75" hidden="false" customHeight="true" outlineLevel="0" collapsed="false">
      <c r="A76" s="0" t="n">
        <v>963</v>
      </c>
      <c r="B76" s="0" t="n">
        <f aca="false">A76*$A$2*$D$2</f>
        <v>33.437500002675</v>
      </c>
      <c r="C76" s="0" t="n">
        <f aca="false">B76*$C$2</f>
        <v>1.67187500013375</v>
      </c>
      <c r="D76" s="0" t="n">
        <v>12.9</v>
      </c>
      <c r="E76" s="0" t="n">
        <v>9</v>
      </c>
    </row>
    <row r="77" customFormat="false" ht="15.75" hidden="false" customHeight="true" outlineLevel="0" collapsed="false">
      <c r="A77" s="0" t="n">
        <v>1083.5</v>
      </c>
      <c r="B77" s="0" t="n">
        <f aca="false">A77*$A$2*$D$2</f>
        <v>37.6215277807875</v>
      </c>
      <c r="C77" s="0" t="n">
        <f aca="false">B77*$C$2</f>
        <v>1.88107638903938</v>
      </c>
      <c r="D77" s="0" t="n">
        <v>12.1</v>
      </c>
      <c r="E77" s="0" t="n">
        <v>8</v>
      </c>
    </row>
    <row r="78" customFormat="false" ht="15.75" hidden="false" customHeight="true" outlineLevel="0" collapsed="false">
      <c r="A78" s="0" t="n">
        <v>1204</v>
      </c>
      <c r="B78" s="0" t="n">
        <f aca="false">A78*$A$2*$D$2</f>
        <v>41.8055555589</v>
      </c>
      <c r="C78" s="0" t="n">
        <f aca="false">B78*$C$2</f>
        <v>2.090277777945</v>
      </c>
      <c r="D78" s="0" t="n">
        <v>9</v>
      </c>
      <c r="E78" s="0" t="n">
        <v>5</v>
      </c>
    </row>
    <row r="79" customFormat="false" ht="15.75" hidden="false" customHeight="true" outlineLevel="0" collapsed="false">
      <c r="A79" s="0" t="n">
        <v>1324.5</v>
      </c>
      <c r="B79" s="0" t="n">
        <f aca="false">A79*$A$2*$D$2</f>
        <v>45.9895833370125</v>
      </c>
      <c r="C79" s="0" t="n">
        <f aca="false">B79*$C$2</f>
        <v>2.29947916685063</v>
      </c>
      <c r="D79" s="0" t="n">
        <v>7.3</v>
      </c>
      <c r="E79" s="0" t="n">
        <v>3</v>
      </c>
    </row>
    <row r="80" customFormat="false" ht="15.75" hidden="false" customHeight="true" outlineLevel="0" collapsed="false">
      <c r="A80" s="0" t="n">
        <v>1445</v>
      </c>
      <c r="B80" s="0" t="n">
        <f aca="false">A80*$A$2*$D$2</f>
        <v>50.173611115125</v>
      </c>
      <c r="C80" s="0" t="n">
        <f aca="false">B80*$C$2</f>
        <v>2.50868055575625</v>
      </c>
      <c r="D80" s="0" t="n">
        <v>5.6</v>
      </c>
      <c r="E80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92"/>
    <col collapsed="false" customWidth="true" hidden="false" outlineLevel="0" max="2" min="2" style="0" width="19.06"/>
    <col collapsed="false" customWidth="true" hidden="false" outlineLevel="0" max="3" min="3" style="0" width="20.03"/>
    <col collapsed="false" customWidth="true" hidden="false" outlineLevel="0" max="4" min="4" style="0" width="19.33"/>
    <col collapsed="false" customWidth="true" hidden="false" outlineLevel="0" max="5" min="5" style="0" width="13.35"/>
    <col collapsed="false" customWidth="true" hidden="false" outlineLevel="0" max="6" min="6" style="0" width="16.83"/>
    <col collapsed="false" customWidth="true" hidden="false" outlineLevel="0" max="7" min="7" style="0" width="15.25"/>
    <col collapsed="false" customWidth="true" hidden="false" outlineLevel="0" max="8" min="8" style="0" width="16.55"/>
    <col collapsed="false" customWidth="true" hidden="false" outlineLevel="0" max="9" min="9" style="0" width="17.39"/>
    <col collapsed="false" customWidth="true" hidden="false" outlineLevel="0" max="10" min="10" style="0" width="17.95"/>
    <col collapsed="false" customWidth="true" hidden="false" outlineLevel="0" max="11" min="11" style="0" width="18.64"/>
  </cols>
  <sheetData>
    <row r="1" customFormat="false" ht="15.75" hidden="false" customHeight="false" outlineLevel="0" collapsed="false">
      <c r="A1" s="18" t="s">
        <v>38</v>
      </c>
      <c r="B1" s="18" t="s">
        <v>39</v>
      </c>
      <c r="C1" s="18" t="s">
        <v>40</v>
      </c>
      <c r="D1" s="18" t="s">
        <v>41</v>
      </c>
    </row>
    <row r="2" customFormat="false" ht="15.75" hidden="false" customHeight="false" outlineLevel="0" collapsed="false">
      <c r="A2" s="9" t="n">
        <f aca="false">1000/60/60</f>
        <v>0.2777777778</v>
      </c>
      <c r="B2" s="9" t="n">
        <f aca="false">1000/60/60/20</f>
        <v>0.01388888889</v>
      </c>
      <c r="C2" s="9" t="n">
        <f aca="false">1/20</f>
        <v>0.05</v>
      </c>
      <c r="D2" s="2" t="n">
        <v>0.125</v>
      </c>
    </row>
    <row r="4" customFormat="false" ht="15.75" hidden="false" customHeight="false" outlineLevel="0" collapsed="false">
      <c r="A4" s="1" t="s">
        <v>0</v>
      </c>
      <c r="B4" s="1" t="s">
        <v>96</v>
      </c>
      <c r="C4" s="1" t="s">
        <v>97</v>
      </c>
      <c r="D4" s="26" t="s">
        <v>98</v>
      </c>
      <c r="E4" s="27" t="s">
        <v>104</v>
      </c>
      <c r="F4" s="1" t="s">
        <v>105</v>
      </c>
      <c r="G4" s="1" t="s">
        <v>106</v>
      </c>
      <c r="H4" s="1" t="s">
        <v>107</v>
      </c>
      <c r="I4" s="26" t="s">
        <v>108</v>
      </c>
      <c r="J4" s="1" t="s">
        <v>109</v>
      </c>
      <c r="K4" s="26" t="s">
        <v>110</v>
      </c>
    </row>
    <row r="5" customFormat="false" ht="15.75" hidden="false" customHeight="false" outlineLevel="0" collapsed="false">
      <c r="A5" s="2" t="s">
        <v>111</v>
      </c>
      <c r="B5" s="2" t="n">
        <v>4939.2</v>
      </c>
      <c r="C5" s="9" t="n">
        <f aca="false">B5*$A$2*$D$2</f>
        <v>171.50000001372</v>
      </c>
      <c r="D5" s="9" t="n">
        <f aca="false">C5*$C$2</f>
        <v>8.575000000686</v>
      </c>
      <c r="E5" s="2" t="n">
        <v>161.5</v>
      </c>
      <c r="F5" s="2" t="n">
        <v>75</v>
      </c>
      <c r="G5" s="9" t="n">
        <f aca="false">F5*1000*$D$2</f>
        <v>9375</v>
      </c>
      <c r="H5" s="9" t="n">
        <f aca="false">I5/20</f>
        <v>54.6647230276968</v>
      </c>
      <c r="I5" s="9" t="n">
        <f aca="false">G5/D5</f>
        <v>1093.29446055394</v>
      </c>
      <c r="J5" s="2" t="n">
        <v>8</v>
      </c>
      <c r="K5" s="9" t="n">
        <f aca="false">J5*20</f>
        <v>160</v>
      </c>
    </row>
    <row r="6" customFormat="false" ht="15.75" hidden="false" customHeight="false" outlineLevel="0" collapsed="false">
      <c r="A6" s="2" t="s">
        <v>112</v>
      </c>
      <c r="B6" s="2" t="n">
        <v>4939.2</v>
      </c>
      <c r="C6" s="9" t="n">
        <f aca="false">B6*$A$2*$D$2</f>
        <v>171.50000001372</v>
      </c>
      <c r="D6" s="9" t="n">
        <f aca="false">C6*$C$2</f>
        <v>8.575000000686</v>
      </c>
      <c r="E6" s="2" t="n">
        <v>161.5</v>
      </c>
      <c r="F6" s="2" t="n">
        <v>90</v>
      </c>
      <c r="G6" s="9" t="n">
        <f aca="false">F6*1000*$D$2</f>
        <v>11250</v>
      </c>
      <c r="H6" s="9" t="n">
        <f aca="false">I6/20</f>
        <v>65.5976676332361</v>
      </c>
      <c r="I6" s="9" t="n">
        <f aca="false">G6/D6</f>
        <v>1311.95335266472</v>
      </c>
      <c r="J6" s="2" t="n">
        <v>9</v>
      </c>
      <c r="K6" s="9" t="n">
        <f aca="false">J6*20</f>
        <v>180</v>
      </c>
    </row>
    <row r="7" customFormat="false" ht="15.75" hidden="false" customHeight="false" outlineLevel="0" collapsed="false">
      <c r="A7" s="2" t="s">
        <v>113</v>
      </c>
      <c r="B7" s="2" t="n">
        <v>4939.2</v>
      </c>
      <c r="C7" s="9" t="n">
        <f aca="false">B7*$A$2*$D$2</f>
        <v>171.50000001372</v>
      </c>
      <c r="D7" s="9" t="n">
        <f aca="false">C7*$C$2</f>
        <v>8.575000000686</v>
      </c>
      <c r="E7" s="2" t="n">
        <v>230</v>
      </c>
      <c r="F7" s="2" t="n">
        <v>50</v>
      </c>
      <c r="G7" s="9" t="n">
        <f aca="false">F7*1000*$D$2</f>
        <v>6250</v>
      </c>
      <c r="H7" s="9" t="n">
        <f aca="false">I7/20</f>
        <v>36.4431486851312</v>
      </c>
      <c r="I7" s="9" t="n">
        <f aca="false">G7/D7</f>
        <v>728.862973702624</v>
      </c>
      <c r="J7" s="2" t="n">
        <v>4</v>
      </c>
      <c r="K7" s="9" t="n">
        <f aca="false">J7*20</f>
        <v>80</v>
      </c>
    </row>
    <row r="8" customFormat="false" ht="15.75" hidden="false" customHeight="false" outlineLevel="0" collapsed="false">
      <c r="A8" s="2" t="s">
        <v>114</v>
      </c>
      <c r="B8" s="2" t="n">
        <v>4939.2</v>
      </c>
      <c r="C8" s="9" t="n">
        <f aca="false">B8*$A$2*$D$2</f>
        <v>171.50000001372</v>
      </c>
      <c r="D8" s="9" t="n">
        <f aca="false">C8*$C$2</f>
        <v>8.575000000686</v>
      </c>
      <c r="E8" s="2" t="n">
        <v>230</v>
      </c>
      <c r="F8" s="2" t="n">
        <v>70</v>
      </c>
      <c r="G8" s="9" t="n">
        <f aca="false">F8*1000*$D$2</f>
        <v>8750</v>
      </c>
      <c r="H8" s="9" t="n">
        <f aca="false">I8/20</f>
        <v>51.0204081591837</v>
      </c>
      <c r="I8" s="9" t="n">
        <f aca="false">G8/D8</f>
        <v>1020.40816318367</v>
      </c>
      <c r="J8" s="2" t="n">
        <v>5</v>
      </c>
      <c r="K8" s="9" t="n">
        <f aca="false">J8*20</f>
        <v>100</v>
      </c>
    </row>
    <row r="9" customFormat="false" ht="15.75" hidden="false" customHeight="false" outlineLevel="0" collapsed="false">
      <c r="A9" s="2" t="s">
        <v>115</v>
      </c>
      <c r="B9" s="2" t="n">
        <v>6174</v>
      </c>
      <c r="C9" s="9" t="n">
        <f aca="false">B9*$A$2*$D$2</f>
        <v>214.37500001715</v>
      </c>
      <c r="D9" s="9" t="n">
        <f aca="false">C9*$C$2</f>
        <v>10.7187500008575</v>
      </c>
      <c r="E9" s="2" t="n">
        <v>190</v>
      </c>
      <c r="F9" s="2" t="n">
        <v>150</v>
      </c>
      <c r="G9" s="9" t="n">
        <f aca="false">F9*1000*$D$2</f>
        <v>18750</v>
      </c>
      <c r="H9" s="9" t="n">
        <f aca="false">I9/20</f>
        <v>87.4635568443149</v>
      </c>
      <c r="I9" s="9" t="n">
        <f aca="false">G9/D9</f>
        <v>1749.2711368863</v>
      </c>
      <c r="J9" s="2" t="n">
        <v>15</v>
      </c>
      <c r="K9" s="9" t="n">
        <f aca="false">J9*20</f>
        <v>300</v>
      </c>
    </row>
    <row r="10" customFormat="false" ht="15.75" hidden="false" customHeight="false" outlineLevel="0" collapsed="false">
      <c r="A10" s="2" t="s">
        <v>116</v>
      </c>
      <c r="B10" s="28" t="n">
        <v>6170</v>
      </c>
      <c r="C10" s="9" t="n">
        <f aca="false">B10*$A$2*$D$2</f>
        <v>214.23611112825</v>
      </c>
      <c r="D10" s="9" t="n">
        <f aca="false">C10*$C$2</f>
        <v>10.7118055564125</v>
      </c>
      <c r="E10" s="2" t="n">
        <v>318</v>
      </c>
      <c r="F10" s="2" t="n">
        <v>160</v>
      </c>
      <c r="G10" s="9" t="n">
        <f aca="false">F10*1000*$D$2</f>
        <v>20000</v>
      </c>
      <c r="H10" s="9" t="n">
        <f aca="false">I10/20</f>
        <v>93.3549432664376</v>
      </c>
      <c r="I10" s="9" t="n">
        <f aca="false">G10/D10</f>
        <v>1867.09886532875</v>
      </c>
      <c r="J10" s="2" t="n">
        <v>16</v>
      </c>
      <c r="K10" s="9" t="n">
        <f aca="false">J10*20</f>
        <v>320</v>
      </c>
    </row>
    <row r="11" customFormat="false" ht="15.75" hidden="false" customHeight="false" outlineLevel="0" collapsed="false">
      <c r="A11" s="2" t="s">
        <v>117</v>
      </c>
      <c r="B11" s="2" t="n">
        <v>920</v>
      </c>
      <c r="C11" s="9" t="n">
        <f aca="false">B11*$A$2*$D$2</f>
        <v>31.944444447</v>
      </c>
      <c r="D11" s="9" t="n">
        <f aca="false">C11*$C$2</f>
        <v>1.59722222235</v>
      </c>
      <c r="E11" s="2" t="n">
        <v>1300</v>
      </c>
      <c r="F11" s="2" t="n">
        <v>100</v>
      </c>
      <c r="G11" s="9" t="n">
        <f aca="false">F11*1000*$D$2</f>
        <v>12500</v>
      </c>
      <c r="H11" s="9" t="n">
        <f aca="false">I11/20</f>
        <v>391.304347794783</v>
      </c>
      <c r="I11" s="9" t="n">
        <f aca="false">G11/D11</f>
        <v>7826.08695589565</v>
      </c>
      <c r="J11" s="2" t="n">
        <v>10</v>
      </c>
      <c r="K11" s="9" t="n">
        <f aca="false">J11*20</f>
        <v>200</v>
      </c>
    </row>
    <row r="12" customFormat="false" ht="15.75" hidden="false" customHeight="false" outlineLevel="0" collapsed="false">
      <c r="A12" s="2" t="s">
        <v>118</v>
      </c>
      <c r="B12" s="2" t="n">
        <v>3087</v>
      </c>
      <c r="C12" s="9" t="n">
        <f aca="false">B12*$A$2*$D$2</f>
        <v>107.187500008575</v>
      </c>
      <c r="D12" s="9" t="n">
        <f aca="false">C12*$C$2</f>
        <v>5.35937500042875</v>
      </c>
      <c r="E12" s="2" t="n">
        <v>85.3</v>
      </c>
      <c r="F12" s="2" t="n">
        <v>35</v>
      </c>
      <c r="G12" s="9" t="n">
        <f aca="false">F12*1000*$D$2</f>
        <v>4375</v>
      </c>
      <c r="H12" s="9" t="n">
        <f aca="false">I12/20</f>
        <v>40.8163265273469</v>
      </c>
      <c r="I12" s="9" t="n">
        <f aca="false">G12/D12</f>
        <v>816.326530546939</v>
      </c>
      <c r="J12" s="2" t="n">
        <v>3</v>
      </c>
      <c r="K12" s="9" t="n">
        <f aca="false">J12*20</f>
        <v>60</v>
      </c>
    </row>
    <row r="13" customFormat="false" ht="15.75" hidden="false" customHeight="false" outlineLevel="0" collapsed="false">
      <c r="A13" s="2" t="s">
        <v>119</v>
      </c>
      <c r="B13" s="2" t="n">
        <v>3395.7</v>
      </c>
      <c r="C13" s="9" t="n">
        <f aca="false">B13*$A$2*$D$2</f>
        <v>117.906250009433</v>
      </c>
      <c r="D13" s="9" t="n">
        <f aca="false">C13*$C$2</f>
        <v>5.89531250047163</v>
      </c>
      <c r="E13" s="2" t="n">
        <v>86</v>
      </c>
      <c r="F13" s="2" t="n">
        <v>36</v>
      </c>
      <c r="G13" s="9" t="n">
        <f aca="false">F13*1000*$D$2</f>
        <v>4500</v>
      </c>
      <c r="H13" s="9" t="n">
        <f aca="false">I13/20</f>
        <v>38.1659157138829</v>
      </c>
      <c r="I13" s="9" t="n">
        <f aca="false">G13/D13</f>
        <v>763.318314277657</v>
      </c>
      <c r="J13" s="2" t="n">
        <v>3.5</v>
      </c>
      <c r="K13" s="9" t="n">
        <f aca="false">J13*20</f>
        <v>70</v>
      </c>
    </row>
    <row r="14" customFormat="false" ht="15.75" hidden="false" customHeight="false" outlineLevel="0" collapsed="false">
      <c r="A14" s="2" t="s">
        <v>120</v>
      </c>
      <c r="B14" s="2" t="n">
        <v>3704.4</v>
      </c>
      <c r="C14" s="9" t="n">
        <f aca="false">B14*$A$2*$D$2</f>
        <v>128.62500001029</v>
      </c>
      <c r="D14" s="9" t="n">
        <f aca="false">C14*$C$2</f>
        <v>6.4312500005145</v>
      </c>
      <c r="E14" s="2" t="n">
        <v>88</v>
      </c>
      <c r="F14" s="2" t="n">
        <v>39</v>
      </c>
      <c r="G14" s="9" t="n">
        <f aca="false">F14*1000*$D$2</f>
        <v>4875</v>
      </c>
      <c r="H14" s="9" t="n">
        <f aca="false">I14/20</f>
        <v>37.9008746325364</v>
      </c>
      <c r="I14" s="9" t="n">
        <f aca="false">G14/D14</f>
        <v>758.017492650729</v>
      </c>
      <c r="J14" s="2" t="n">
        <v>4</v>
      </c>
      <c r="K14" s="9" t="n">
        <f aca="false">J14*20</f>
        <v>80</v>
      </c>
    </row>
    <row r="15" customFormat="false" ht="15.75" hidden="false" customHeight="false" outlineLevel="0" collapsed="false">
      <c r="A15" s="2" t="s">
        <v>121</v>
      </c>
      <c r="B15" s="2" t="n">
        <v>3580.92</v>
      </c>
      <c r="C15" s="9" t="n">
        <f aca="false">B15*$A$2*$D$2</f>
        <v>124.337500009947</v>
      </c>
      <c r="D15" s="9" t="n">
        <f aca="false">C15*$C$2</f>
        <v>6.21687500049735</v>
      </c>
      <c r="E15" s="2" t="n">
        <v>361</v>
      </c>
      <c r="F15" s="2" t="n">
        <v>148</v>
      </c>
      <c r="G15" s="9" t="n">
        <f aca="false">F15*1000*$D$2</f>
        <v>18500</v>
      </c>
      <c r="H15" s="9" t="n">
        <f aca="false">I15/20</f>
        <v>148.788579459294</v>
      </c>
      <c r="I15" s="9" t="n">
        <f aca="false">G15/D15</f>
        <v>2975.77158918588</v>
      </c>
      <c r="K15" s="9" t="n">
        <f aca="false">J15*20</f>
        <v>0</v>
      </c>
    </row>
    <row r="16" customFormat="false" ht="15.75" hidden="false" customHeight="false" outlineLevel="0" collapsed="false">
      <c r="C16" s="9" t="n">
        <f aca="false">B16*$A$2*$D$2</f>
        <v>0</v>
      </c>
      <c r="D16" s="9" t="n">
        <f aca="false">C16*$C$2</f>
        <v>0</v>
      </c>
      <c r="G16" s="9" t="n">
        <f aca="false">F16*1000*$D$2</f>
        <v>0</v>
      </c>
      <c r="H16" s="9" t="e">
        <f aca="false">I16/20</f>
        <v>#DIV/0!</v>
      </c>
      <c r="I16" s="9" t="e">
        <f aca="false">G16/D16</f>
        <v>#DIV/0!</v>
      </c>
      <c r="K16" s="9" t="n">
        <f aca="false">J16*20</f>
        <v>0</v>
      </c>
    </row>
    <row r="17" customFormat="false" ht="15.75" hidden="false" customHeight="false" outlineLevel="0" collapsed="false">
      <c r="C17" s="9" t="n">
        <f aca="false">B17*$A$2*$D$2</f>
        <v>0</v>
      </c>
      <c r="D17" s="9" t="n">
        <f aca="false">C17*$C$2</f>
        <v>0</v>
      </c>
      <c r="G17" s="9" t="n">
        <f aca="false">F17*1000*$D$2</f>
        <v>0</v>
      </c>
      <c r="H17" s="9" t="e">
        <f aca="false">I17/20</f>
        <v>#DIV/0!</v>
      </c>
      <c r="I17" s="9" t="e">
        <f aca="false">G17/D17</f>
        <v>#DIV/0!</v>
      </c>
      <c r="K17" s="9" t="n">
        <f aca="false">J17*20</f>
        <v>0</v>
      </c>
    </row>
    <row r="18" customFormat="false" ht="15.75" hidden="false" customHeight="false" outlineLevel="0" collapsed="false">
      <c r="C18" s="9" t="n">
        <f aca="false">B18*$A$2*$D$2</f>
        <v>0</v>
      </c>
      <c r="D18" s="9" t="n">
        <f aca="false">C18*$C$2</f>
        <v>0</v>
      </c>
      <c r="G18" s="9" t="n">
        <f aca="false">F18*1000*$D$2</f>
        <v>0</v>
      </c>
      <c r="H18" s="9" t="e">
        <f aca="false">I18/20</f>
        <v>#DIV/0!</v>
      </c>
      <c r="I18" s="9" t="e">
        <f aca="false">G18/D18</f>
        <v>#DIV/0!</v>
      </c>
      <c r="K18" s="9" t="n">
        <f aca="false">J18*20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38"/>
  </cols>
  <sheetData>
    <row r="1" customFormat="false" ht="15.75" hidden="false" customHeight="false" outlineLevel="0" collapsed="false">
      <c r="A1" s="18" t="s">
        <v>38</v>
      </c>
      <c r="B1" s="18" t="s">
        <v>39</v>
      </c>
      <c r="C1" s="18" t="s">
        <v>40</v>
      </c>
      <c r="D1" s="18" t="s">
        <v>41</v>
      </c>
    </row>
    <row r="2" customFormat="false" ht="15.75" hidden="false" customHeight="false" outlineLevel="0" collapsed="false">
      <c r="A2" s="9" t="n">
        <f aca="false">1000/60/60</f>
        <v>0.2777777778</v>
      </c>
      <c r="B2" s="9" t="n">
        <f aca="false">1000/60/60/20</f>
        <v>0.01388888889</v>
      </c>
      <c r="C2" s="9" t="n">
        <f aca="false">1/20</f>
        <v>0.05</v>
      </c>
      <c r="D2" s="2" t="n">
        <v>0.125</v>
      </c>
    </row>
    <row r="4" customFormat="false" ht="15.75" hidden="false" customHeight="false" outlineLevel="0" collapsed="false">
      <c r="A4" s="1" t="s">
        <v>0</v>
      </c>
      <c r="B4" s="1" t="s">
        <v>122</v>
      </c>
    </row>
    <row r="5" customFormat="false" ht="15.75" hidden="false" customHeight="false" outlineLevel="0" collapsed="false">
      <c r="A5" s="2" t="s">
        <v>123</v>
      </c>
      <c r="B5" s="2" t="n">
        <v>2500</v>
      </c>
    </row>
    <row r="6" customFormat="false" ht="15.75" hidden="false" customHeight="false" outlineLevel="0" collapsed="false">
      <c r="A6" s="2" t="s">
        <v>124</v>
      </c>
      <c r="B6" s="2" t="n">
        <v>5000</v>
      </c>
    </row>
    <row r="7" customFormat="false" ht="15.75" hidden="false" customHeight="false" outlineLevel="0" collapsed="false">
      <c r="A7" s="2" t="s">
        <v>125</v>
      </c>
      <c r="B7" s="2" t="n">
        <v>10000</v>
      </c>
    </row>
    <row r="8" customFormat="false" ht="15.75" hidden="false" customHeight="false" outlineLevel="0" collapsed="false">
      <c r="A8" s="2" t="s">
        <v>126</v>
      </c>
      <c r="B8" s="2" t="n">
        <v>100000</v>
      </c>
    </row>
    <row r="9" customFormat="false" ht="15.75" hidden="false" customHeight="false" outlineLevel="0" collapsed="false">
      <c r="A9" s="2" t="s">
        <v>127</v>
      </c>
      <c r="B9" s="2" t="n">
        <v>7000</v>
      </c>
    </row>
    <row r="10" customFormat="false" ht="15.75" hidden="false" customHeight="false" outlineLevel="0" collapsed="false">
      <c r="A10" s="2" t="s">
        <v>128</v>
      </c>
      <c r="B10" s="2" t="n">
        <v>8000</v>
      </c>
    </row>
    <row r="11" customFormat="false" ht="15.75" hidden="false" customHeight="false" outlineLevel="0" collapsed="false">
      <c r="A11" s="2" t="s">
        <v>129</v>
      </c>
      <c r="B11" s="2" t="n">
        <v>12000</v>
      </c>
    </row>
    <row r="12" customFormat="false" ht="15.75" hidden="false" customHeight="false" outlineLevel="0" collapsed="false">
      <c r="A12" s="2" t="s">
        <v>130</v>
      </c>
      <c r="B12" s="2" t="n">
        <v>20000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2025-07-24T16:38:01Z</dcterms:modified>
  <cp:revision>8</cp:revision>
  <dc:subject/>
  <dc:title/>
</cp:coreProperties>
</file>